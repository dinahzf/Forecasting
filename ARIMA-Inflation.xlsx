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andom Walk (0,1,0)" sheetId="2" r:id="rId5"/>
    <sheet state="visible" name="ARIMA(0,2,1)" sheetId="3" r:id="rId6"/>
    <sheet state="visible" name="ARIMA(0,2,2)" sheetId="4" r:id="rId7"/>
    <sheet state="visible" name="ARIMA(2,2,0)" sheetId="5" r:id="rId8"/>
  </sheets>
  <definedNames/>
  <calcPr/>
  <extLst>
    <ext uri="GoogleSheetsCustomDataVersion2">
      <go:sheetsCustomData xmlns:go="http://customooxmlschemas.google.com/" r:id="rId9" roundtripDataChecksum="Nq4sQXMjAMFK8yRrWgTHVP7E1bE9pYK30kGp6qGVw0A="/>
    </ext>
  </extLst>
</workbook>
</file>

<file path=xl/sharedStrings.xml><?xml version="1.0" encoding="utf-8"?>
<sst xmlns="http://schemas.openxmlformats.org/spreadsheetml/2006/main" count="186" uniqueCount="61">
  <si>
    <t>DATA TRAINING</t>
  </si>
  <si>
    <t>DATA TESTING</t>
  </si>
  <si>
    <t>Uji Asumsi</t>
  </si>
  <si>
    <t>p-value</t>
  </si>
  <si>
    <t>Periode</t>
  </si>
  <si>
    <t>Data Inflasi</t>
  </si>
  <si>
    <t>Transformasi</t>
  </si>
  <si>
    <t>Invers Transformasi</t>
  </si>
  <si>
    <t>DIFF1</t>
  </si>
  <si>
    <t>DIFF2</t>
  </si>
  <si>
    <t>Testing</t>
  </si>
  <si>
    <t xml:space="preserve">Uji Signifikansi Parameter </t>
  </si>
  <si>
    <t>MA 1</t>
  </si>
  <si>
    <t>*</t>
  </si>
  <si>
    <t>MA 2</t>
  </si>
  <si>
    <t>Uji Independensi</t>
  </si>
  <si>
    <t>Lag 12</t>
  </si>
  <si>
    <t>Lag 24</t>
  </si>
  <si>
    <t>Lag 36</t>
  </si>
  <si>
    <t>Lag 48</t>
  </si>
  <si>
    <t>kelas sat</t>
  </si>
  <si>
    <t>Uji Normalitas</t>
  </si>
  <si>
    <t>Residu</t>
  </si>
  <si>
    <t>lambda</t>
  </si>
  <si>
    <t>ACF Data Asli</t>
  </si>
  <si>
    <t>ACF Diff1</t>
  </si>
  <si>
    <t>Mengindikasikan Random Walk</t>
  </si>
  <si>
    <t>karena semua lag dibawah</t>
  </si>
  <si>
    <t>ambang batas</t>
  </si>
  <si>
    <t>ACF Diff2</t>
  </si>
  <si>
    <t>PACF DIFF2</t>
  </si>
  <si>
    <t>Nilai Aktual</t>
  </si>
  <si>
    <t>Transformasi Forecast</t>
  </si>
  <si>
    <t>Forecast Invers</t>
  </si>
  <si>
    <t>e</t>
  </si>
  <si>
    <t>e/aktual</t>
  </si>
  <si>
    <t>ABS e/aktual</t>
  </si>
  <si>
    <t>e^2</t>
  </si>
  <si>
    <t>Random Walk</t>
  </si>
  <si>
    <t>Training</t>
  </si>
  <si>
    <t>MAPE (%)</t>
  </si>
  <si>
    <t>MSE</t>
  </si>
  <si>
    <t>RMSE</t>
  </si>
  <si>
    <t>MAD</t>
  </si>
  <si>
    <t>MPE (%)</t>
  </si>
  <si>
    <t>Residuals</t>
  </si>
  <si>
    <t>Fits</t>
  </si>
  <si>
    <t xml:space="preserve">Forecast </t>
  </si>
  <si>
    <t>theta1</t>
  </si>
  <si>
    <t>Persamaan ARIMA(0,2,1)</t>
  </si>
  <si>
    <t>Uji Signifikansi Parameter</t>
  </si>
  <si>
    <t>Residuals_022</t>
  </si>
  <si>
    <t>Fits_022</t>
  </si>
  <si>
    <t>theta2</t>
  </si>
  <si>
    <t>Persamaan ARIMA(0,2,2)</t>
  </si>
  <si>
    <t>Forecasting 12 Data kedepan</t>
  </si>
  <si>
    <t>Invers</t>
  </si>
  <si>
    <t>Residuals_220</t>
  </si>
  <si>
    <t>e/Aktual</t>
  </si>
  <si>
    <t>AR1</t>
  </si>
  <si>
    <t>AR2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</si>
</sst>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-d"/>
    <numFmt numFmtId="165" formatCode="0.00000"/>
    <numFmt numFmtId="166" formatCode="0.000000"/>
    <numFmt numFmtId="167" formatCode="mmmm-d"/>
    <numFmt numFmtId="168" formatCode="0.00000000"/>
    <numFmt numFmtId="169" formatCode="0.0000000000"/>
    <numFmt numFmtId="170" formatCode="#,##0.000000"/>
    <numFmt numFmtId="171" formatCode="0.000000000"/>
    <numFmt numFmtId="172" formatCode="#,##0.00000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9.0"/>
      <color rgb="FF000000"/>
      <name val="&quot;Google Sans Mono&quot;"/>
    </font>
    <font>
      <sz val="11.0"/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0" fillId="0" fontId="4" numFmtId="0" xfId="0" applyFont="1"/>
    <xf borderId="0" fillId="2" fontId="2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5" xfId="0" applyAlignment="1" applyFont="1" applyNumberFormat="1">
      <alignment readingOrder="0"/>
    </xf>
    <xf borderId="5" fillId="0" fontId="3" numFmtId="0" xfId="0" applyBorder="1" applyFont="1"/>
    <xf borderId="0" fillId="0" fontId="5" numFmtId="166" xfId="0" applyAlignment="1" applyFont="1" applyNumberFormat="1">
      <alignment horizontal="right" readingOrder="0" shrinkToFit="0" vertical="bottom" wrapText="0"/>
    </xf>
    <xf borderId="6" fillId="0" fontId="3" numFmtId="0" xfId="0" applyBorder="1" applyFont="1"/>
    <xf borderId="0" fillId="0" fontId="5" numFmtId="167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horizontal="left" readingOrder="0" shrinkToFit="0" vertical="bottom" wrapText="0"/>
    </xf>
    <xf borderId="0" fillId="3" fontId="4" numFmtId="0" xfId="0" applyAlignment="1" applyFill="1" applyFont="1">
      <alignment readingOrder="0"/>
    </xf>
    <xf borderId="0" fillId="4" fontId="6" numFmtId="0" xfId="0" applyFill="1" applyFont="1"/>
    <xf borderId="0" fillId="4" fontId="6" numFmtId="0" xfId="0" applyAlignment="1" applyFont="1">
      <alignment readingOrder="0"/>
    </xf>
    <xf borderId="0" fillId="4" fontId="7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6" numFmtId="165" xfId="0" applyAlignment="1" applyFont="1" applyNumberFormat="1">
      <alignment readingOrder="0"/>
    </xf>
    <xf borderId="0" fillId="5" fontId="6" numFmtId="165" xfId="0" applyFont="1" applyNumberFormat="1"/>
    <xf borderId="0" fillId="5" fontId="6" numFmtId="0" xfId="0" applyFont="1"/>
    <xf borderId="0" fillId="0" fontId="6" numFmtId="0" xfId="0" applyAlignment="1" applyFont="1">
      <alignment readingOrder="0"/>
    </xf>
    <xf borderId="0" fillId="4" fontId="6" numFmtId="165" xfId="0" applyAlignment="1" applyFont="1" applyNumberFormat="1">
      <alignment readingOrder="0"/>
    </xf>
    <xf borderId="0" fillId="4" fontId="6" numFmtId="165" xfId="0" applyFont="1" applyNumberFormat="1"/>
    <xf borderId="0" fillId="4" fontId="6" numFmtId="0" xfId="0" applyFont="1"/>
    <xf borderId="0" fillId="4" fontId="6" numFmtId="168" xfId="0" applyFont="1" applyNumberFormat="1"/>
    <xf borderId="0" fillId="0" fontId="6" numFmtId="168" xfId="0" applyAlignment="1" applyFont="1" applyNumberFormat="1">
      <alignment readingOrder="0"/>
    </xf>
    <xf borderId="0" fillId="0" fontId="6" numFmtId="168" xfId="0" applyFont="1" applyNumberFormat="1"/>
    <xf borderId="0" fillId="6" fontId="6" numFmtId="0" xfId="0" applyAlignment="1" applyFill="1" applyFont="1">
      <alignment readingOrder="0"/>
    </xf>
    <xf borderId="0" fillId="6" fontId="6" numFmtId="0" xfId="0" applyFont="1"/>
    <xf borderId="0" fillId="6" fontId="6" numFmtId="169" xfId="0" applyFont="1" applyNumberFormat="1"/>
    <xf borderId="0" fillId="2" fontId="6" numFmtId="0" xfId="0" applyAlignment="1" applyFont="1">
      <alignment readingOrder="0"/>
    </xf>
    <xf borderId="0" fillId="5" fontId="6" numFmtId="170" xfId="0" applyAlignment="1" applyFont="1" applyNumberFormat="1">
      <alignment readingOrder="0"/>
    </xf>
    <xf borderId="0" fillId="5" fontId="6" numFmtId="171" xfId="0" applyFont="1" applyNumberFormat="1"/>
    <xf borderId="0" fillId="4" fontId="6" numFmtId="171" xfId="0" applyFont="1" applyNumberFormat="1"/>
    <xf borderId="0" fillId="7" fontId="6" numFmtId="165" xfId="0" applyFill="1" applyFont="1" applyNumberFormat="1"/>
    <xf borderId="0" fillId="7" fontId="6" numFmtId="0" xfId="0" applyFont="1"/>
    <xf borderId="0" fillId="5" fontId="8" numFmtId="168" xfId="0" applyFont="1" applyNumberFormat="1"/>
    <xf borderId="0" fillId="5" fontId="6" numFmtId="168" xfId="0" applyFont="1" applyNumberFormat="1"/>
    <xf borderId="0" fillId="5" fontId="6" numFmtId="169" xfId="0" applyFont="1" applyNumberFormat="1"/>
    <xf borderId="0" fillId="8" fontId="7" numFmtId="0" xfId="0" applyAlignment="1" applyFill="1" applyFont="1">
      <alignment readingOrder="0"/>
    </xf>
    <xf borderId="0" fillId="8" fontId="7" numFmtId="0" xfId="0" applyFont="1"/>
    <xf borderId="0" fillId="4" fontId="6" numFmtId="169" xfId="0" applyFont="1" applyNumberFormat="1"/>
    <xf borderId="0" fillId="7" fontId="6" numFmtId="0" xfId="0" applyAlignment="1" applyFont="1">
      <alignment horizontal="center" readingOrder="0"/>
    </xf>
    <xf borderId="0" fillId="7" fontId="6" numFmtId="168" xfId="0" applyFont="1" applyNumberFormat="1"/>
    <xf borderId="0" fillId="4" fontId="6" numFmtId="170" xfId="0" applyAlignment="1" applyFont="1" applyNumberFormat="1">
      <alignment readingOrder="0"/>
    </xf>
    <xf borderId="0" fillId="0" fontId="6" numFmtId="0" xfId="0" applyFont="1"/>
    <xf borderId="0" fillId="5" fontId="6" numFmtId="172" xfId="0" applyAlignment="1" applyFont="1" applyNumberFormat="1">
      <alignment readingOrder="0"/>
    </xf>
    <xf borderId="0" fillId="9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Relationship Id="rId3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Relationship Id="rId3" Type="http://schemas.openxmlformats.org/officeDocument/2006/relationships/image" Target="../media/image11.png"/><Relationship Id="rId4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20</xdr:row>
      <xdr:rowOff>47625</xdr:rowOff>
    </xdr:from>
    <xdr:ext cx="6248400" cy="4171950"/>
    <xdr:pic>
      <xdr:nvPicPr>
        <xdr:cNvPr id="0" name="image10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44</xdr:row>
      <xdr:rowOff>190500</xdr:rowOff>
    </xdr:from>
    <xdr:ext cx="5372100" cy="3581400"/>
    <xdr:pic>
      <xdr:nvPicPr>
        <xdr:cNvPr id="0" name="image15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67</xdr:row>
      <xdr:rowOff>85725</xdr:rowOff>
    </xdr:from>
    <xdr:ext cx="6172200" cy="410527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91</xdr:row>
      <xdr:rowOff>9525</xdr:rowOff>
    </xdr:from>
    <xdr:ext cx="6248400" cy="41719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66</xdr:row>
      <xdr:rowOff>171450</xdr:rowOff>
    </xdr:from>
    <xdr:ext cx="4657725" cy="2667000"/>
    <xdr:pic>
      <xdr:nvPicPr>
        <xdr:cNvPr id="0" name="image5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25</xdr:row>
      <xdr:rowOff>95250</xdr:rowOff>
    </xdr:from>
    <xdr:ext cx="5486400" cy="3657600"/>
    <xdr:pic>
      <xdr:nvPicPr>
        <xdr:cNvPr id="0" name="image16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3</xdr:row>
      <xdr:rowOff>28575</xdr:rowOff>
    </xdr:from>
    <xdr:ext cx="5772150" cy="3838575"/>
    <xdr:pic>
      <xdr:nvPicPr>
        <xdr:cNvPr id="0" name="image1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962025</xdr:colOff>
      <xdr:row>7</xdr:row>
      <xdr:rowOff>190500</xdr:rowOff>
    </xdr:from>
    <xdr:ext cx="3152775" cy="13144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16</xdr:row>
      <xdr:rowOff>190500</xdr:rowOff>
    </xdr:from>
    <xdr:ext cx="3933825" cy="13144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25</xdr:row>
      <xdr:rowOff>190500</xdr:rowOff>
    </xdr:from>
    <xdr:ext cx="4819650" cy="321945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3</xdr:row>
      <xdr:rowOff>190500</xdr:rowOff>
    </xdr:from>
    <xdr:ext cx="3590925" cy="3619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1762125</xdr:colOff>
      <xdr:row>26</xdr:row>
      <xdr:rowOff>95250</xdr:rowOff>
    </xdr:from>
    <xdr:ext cx="4848225" cy="322897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1762125</xdr:colOff>
      <xdr:row>16</xdr:row>
      <xdr:rowOff>190500</xdr:rowOff>
    </xdr:from>
    <xdr:ext cx="3667125" cy="13144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1762125</xdr:colOff>
      <xdr:row>7</xdr:row>
      <xdr:rowOff>200025</xdr:rowOff>
    </xdr:from>
    <xdr:ext cx="2686050" cy="131445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1762125</xdr:colOff>
      <xdr:row>3</xdr:row>
      <xdr:rowOff>200025</xdr:rowOff>
    </xdr:from>
    <xdr:ext cx="4676775" cy="333375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41</xdr:row>
      <xdr:rowOff>85725</xdr:rowOff>
    </xdr:from>
    <xdr:ext cx="6019800" cy="600075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352675" cy="1190625"/>
    <xdr:pic>
      <xdr:nvPicPr>
        <xdr:cNvPr id="0" name="image6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3914775" cy="1362075"/>
    <xdr:pic>
      <xdr:nvPicPr>
        <xdr:cNvPr id="0" name="image17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20</xdr:row>
      <xdr:rowOff>190500</xdr:rowOff>
    </xdr:from>
    <xdr:ext cx="5467350" cy="3619500"/>
    <xdr:pic>
      <xdr:nvPicPr>
        <xdr:cNvPr id="0" name="image18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476250</xdr:colOff>
      <xdr:row>50</xdr:row>
      <xdr:rowOff>114300</xdr:rowOff>
    </xdr:from>
    <xdr:ext cx="2352675" cy="1190625"/>
    <xdr:pic>
      <xdr:nvPicPr>
        <xdr:cNvPr id="0" name="image6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93</xdr:row>
      <xdr:rowOff>123825</xdr:rowOff>
    </xdr:from>
    <xdr:ext cx="6019800" cy="600075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2.0"/>
    <col customWidth="1" min="12" max="12" width="28.43"/>
  </cols>
  <sheetData>
    <row r="1">
      <c r="A1" s="1" t="s">
        <v>0</v>
      </c>
      <c r="G1" s="2"/>
      <c r="H1" s="3" t="s">
        <v>1</v>
      </c>
      <c r="K1" s="2"/>
      <c r="L1" s="4" t="s">
        <v>2</v>
      </c>
      <c r="M1" s="5" t="s">
        <v>3</v>
      </c>
      <c r="N1" s="6"/>
      <c r="O1" s="2"/>
      <c r="P1" s="2"/>
      <c r="Q1" s="2"/>
      <c r="R1" s="2"/>
      <c r="S1" s="2"/>
      <c r="T1" s="2"/>
      <c r="U1" s="2"/>
      <c r="V1" s="2"/>
      <c r="W1" s="2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8"/>
      <c r="H2" s="9" t="s">
        <v>4</v>
      </c>
      <c r="I2" s="9" t="s">
        <v>10</v>
      </c>
      <c r="J2" s="9" t="s">
        <v>6</v>
      </c>
      <c r="K2" s="8"/>
      <c r="L2" s="10" t="s">
        <v>11</v>
      </c>
      <c r="M2" s="11" t="s">
        <v>12</v>
      </c>
      <c r="N2" s="12">
        <v>0.0</v>
      </c>
      <c r="O2" s="8"/>
      <c r="P2" s="8"/>
      <c r="Q2" s="8"/>
      <c r="R2" s="8"/>
      <c r="S2" s="8"/>
      <c r="T2" s="8"/>
      <c r="U2" s="8"/>
      <c r="V2" s="8"/>
      <c r="W2" s="8"/>
    </row>
    <row r="3">
      <c r="A3" s="13">
        <v>45306.0</v>
      </c>
      <c r="B3" s="14">
        <v>6.96</v>
      </c>
      <c r="C3" s="15">
        <v>1.934136592</v>
      </c>
      <c r="D3" s="16">
        <f t="shared" ref="D3:D82" si="1">C3^(1/0.34)</f>
        <v>6.959999999</v>
      </c>
      <c r="E3" s="17" t="s">
        <v>13</v>
      </c>
      <c r="F3" s="17" t="s">
        <v>13</v>
      </c>
      <c r="G3" s="8"/>
      <c r="H3" s="18">
        <v>45556.0</v>
      </c>
      <c r="I3" s="19">
        <v>1.6</v>
      </c>
      <c r="J3" s="20">
        <v>1.17327764</v>
      </c>
      <c r="K3" s="8"/>
      <c r="L3" s="21"/>
      <c r="M3" s="11" t="s">
        <v>14</v>
      </c>
      <c r="N3" s="11">
        <v>0.031</v>
      </c>
      <c r="O3" s="8"/>
      <c r="P3" s="8"/>
      <c r="Q3" s="8"/>
      <c r="R3" s="8"/>
      <c r="S3" s="8"/>
      <c r="T3" s="8"/>
      <c r="U3" s="8"/>
      <c r="V3" s="8"/>
      <c r="W3" s="8"/>
    </row>
    <row r="4">
      <c r="A4" s="13">
        <v>45337.0</v>
      </c>
      <c r="B4" s="14">
        <v>6.29</v>
      </c>
      <c r="C4" s="15">
        <v>1.86870703</v>
      </c>
      <c r="D4" s="16">
        <f t="shared" si="1"/>
        <v>6.289999998</v>
      </c>
      <c r="E4" s="22">
        <v>-0.065429562</v>
      </c>
      <c r="F4" s="17" t="s">
        <v>13</v>
      </c>
      <c r="G4" s="8"/>
      <c r="H4" s="18">
        <v>45586.0</v>
      </c>
      <c r="I4" s="19">
        <v>1.66</v>
      </c>
      <c r="J4" s="20">
        <v>1.188055557</v>
      </c>
      <c r="L4" s="10" t="s">
        <v>15</v>
      </c>
      <c r="M4" s="11" t="s">
        <v>16</v>
      </c>
      <c r="N4" s="11">
        <v>0.402</v>
      </c>
      <c r="O4" s="8"/>
      <c r="P4" s="8"/>
      <c r="Q4" s="8"/>
      <c r="R4" s="8"/>
      <c r="S4" s="8"/>
      <c r="T4" s="8"/>
      <c r="U4" s="8"/>
      <c r="V4" s="8"/>
      <c r="W4" s="8"/>
    </row>
    <row r="5">
      <c r="A5" s="13">
        <v>45366.0</v>
      </c>
      <c r="B5" s="14">
        <v>6.38</v>
      </c>
      <c r="C5" s="15">
        <v>1.877755448</v>
      </c>
      <c r="D5" s="16">
        <f t="shared" si="1"/>
        <v>6.379999997</v>
      </c>
      <c r="E5" s="22">
        <v>0.009048418</v>
      </c>
      <c r="F5" s="22">
        <v>0.07447798</v>
      </c>
      <c r="G5" s="8"/>
      <c r="H5" s="18">
        <v>45617.0</v>
      </c>
      <c r="I5" s="19">
        <v>1.75</v>
      </c>
      <c r="J5" s="20">
        <v>1.209575375</v>
      </c>
      <c r="L5" s="23"/>
      <c r="M5" s="11" t="s">
        <v>17</v>
      </c>
      <c r="N5" s="11">
        <v>0.843</v>
      </c>
      <c r="O5" s="8"/>
      <c r="P5" s="8"/>
      <c r="Q5" s="8"/>
      <c r="R5" s="8"/>
      <c r="S5" s="8"/>
      <c r="T5" s="8"/>
      <c r="U5" s="8"/>
      <c r="V5" s="8"/>
      <c r="W5" s="8"/>
    </row>
    <row r="6">
      <c r="A6" s="13">
        <v>45397.0</v>
      </c>
      <c r="B6" s="14">
        <v>6.79</v>
      </c>
      <c r="C6" s="15">
        <v>1.91794312</v>
      </c>
      <c r="D6" s="16">
        <f t="shared" si="1"/>
        <v>6.79</v>
      </c>
      <c r="E6" s="22">
        <v>0.040187672</v>
      </c>
      <c r="F6" s="22">
        <v>0.031139254</v>
      </c>
      <c r="G6" s="8"/>
      <c r="H6" s="18">
        <v>45647.0</v>
      </c>
      <c r="I6" s="19">
        <v>1.87</v>
      </c>
      <c r="J6" s="20">
        <v>1.237160787</v>
      </c>
      <c r="K6" s="8"/>
      <c r="L6" s="23"/>
      <c r="M6" s="11" t="s">
        <v>18</v>
      </c>
      <c r="N6" s="11">
        <v>0.911</v>
      </c>
      <c r="O6" s="8"/>
      <c r="P6" s="8"/>
      <c r="Q6" s="8"/>
      <c r="R6" s="8"/>
      <c r="S6" s="8"/>
      <c r="T6" s="8"/>
      <c r="U6" s="8"/>
      <c r="V6" s="8"/>
      <c r="W6" s="8"/>
    </row>
    <row r="7">
      <c r="A7" s="24">
        <v>45427.0</v>
      </c>
      <c r="B7" s="14">
        <v>7.15</v>
      </c>
      <c r="C7" s="15">
        <v>1.95192917</v>
      </c>
      <c r="D7" s="16">
        <f t="shared" si="1"/>
        <v>7.150000004</v>
      </c>
      <c r="E7" s="22">
        <v>0.03398605</v>
      </c>
      <c r="F7" s="22">
        <v>-0.006201622</v>
      </c>
      <c r="G7" s="8"/>
      <c r="H7" s="18">
        <v>45313.0</v>
      </c>
      <c r="I7" s="19">
        <v>2.18</v>
      </c>
      <c r="J7" s="20">
        <v>1.303392471</v>
      </c>
      <c r="K7" s="8"/>
      <c r="L7" s="21"/>
      <c r="M7" s="11" t="s">
        <v>19</v>
      </c>
      <c r="N7" s="11">
        <v>0.932</v>
      </c>
      <c r="O7" s="25" t="s">
        <v>20</v>
      </c>
      <c r="P7" s="8"/>
      <c r="Q7" s="8"/>
      <c r="R7" s="8"/>
      <c r="S7" s="8"/>
      <c r="T7" s="8"/>
      <c r="U7" s="8"/>
      <c r="V7" s="8"/>
      <c r="W7" s="8"/>
    </row>
    <row r="8">
      <c r="A8" s="13">
        <v>45458.0</v>
      </c>
      <c r="B8" s="14">
        <v>7.26</v>
      </c>
      <c r="C8" s="15">
        <v>1.962087862</v>
      </c>
      <c r="D8" s="16">
        <f t="shared" si="1"/>
        <v>7.260000004</v>
      </c>
      <c r="E8" s="22">
        <v>0.010158692</v>
      </c>
      <c r="F8" s="22">
        <v>-0.023827358</v>
      </c>
      <c r="G8" s="8"/>
      <c r="H8" s="18">
        <v>45344.0</v>
      </c>
      <c r="I8" s="19">
        <v>2.06</v>
      </c>
      <c r="J8" s="20">
        <v>1.278541575</v>
      </c>
      <c r="K8" s="8"/>
      <c r="L8" s="11" t="s">
        <v>21</v>
      </c>
      <c r="M8" s="11" t="s">
        <v>22</v>
      </c>
      <c r="N8" s="11">
        <v>0.164</v>
      </c>
      <c r="O8" s="8"/>
      <c r="P8" s="8"/>
      <c r="Q8" s="8"/>
      <c r="R8" s="8"/>
      <c r="S8" s="8"/>
      <c r="T8" s="8"/>
      <c r="U8" s="8"/>
      <c r="V8" s="8"/>
      <c r="W8" s="8"/>
    </row>
    <row r="9">
      <c r="A9" s="13">
        <v>45488.0</v>
      </c>
      <c r="B9" s="14">
        <v>7.26</v>
      </c>
      <c r="C9" s="15">
        <v>1.962087862</v>
      </c>
      <c r="D9" s="16">
        <f t="shared" si="1"/>
        <v>7.260000004</v>
      </c>
      <c r="E9" s="22">
        <v>0.0</v>
      </c>
      <c r="F9" s="22">
        <v>-0.010158692</v>
      </c>
      <c r="G9" s="8"/>
      <c r="H9" s="18">
        <v>45373.0</v>
      </c>
      <c r="I9" s="19">
        <v>2.64</v>
      </c>
      <c r="J9" s="20">
        <v>1.39105831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3">
        <v>45519.0</v>
      </c>
      <c r="B10" s="14">
        <v>7.18</v>
      </c>
      <c r="C10" s="15">
        <v>1.954709893</v>
      </c>
      <c r="D10" s="16">
        <f t="shared" si="1"/>
        <v>7.179999997</v>
      </c>
      <c r="E10" s="22">
        <v>-0.007377968</v>
      </c>
      <c r="F10" s="22">
        <v>-0.007377968</v>
      </c>
      <c r="G10" s="8"/>
      <c r="H10" s="18">
        <v>45404.0</v>
      </c>
      <c r="I10" s="19">
        <v>3.47</v>
      </c>
      <c r="J10" s="20">
        <v>1.526553472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3">
        <v>45550.0</v>
      </c>
      <c r="B11" s="14">
        <v>6.83</v>
      </c>
      <c r="C11" s="15">
        <v>1.921777212</v>
      </c>
      <c r="D11" s="16">
        <f t="shared" si="1"/>
        <v>6.830000003</v>
      </c>
      <c r="E11" s="22">
        <v>-0.032932682</v>
      </c>
      <c r="F11" s="22">
        <v>-0.025554713</v>
      </c>
      <c r="G11" s="8"/>
      <c r="H11" s="26">
        <v>45434.0</v>
      </c>
      <c r="I11" s="19">
        <v>3.55</v>
      </c>
      <c r="J11" s="20">
        <v>1.538429645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3">
        <v>45580.0</v>
      </c>
      <c r="B12" s="14">
        <v>6.25</v>
      </c>
      <c r="C12" s="15">
        <v>1.864658073</v>
      </c>
      <c r="D12" s="16">
        <f t="shared" si="1"/>
        <v>6.249999995</v>
      </c>
      <c r="E12" s="22">
        <v>-0.057119138</v>
      </c>
      <c r="F12" s="22">
        <v>-0.024186457</v>
      </c>
      <c r="G12" s="8"/>
      <c r="H12" s="18">
        <v>45465.0</v>
      </c>
      <c r="I12" s="19">
        <v>4.35</v>
      </c>
      <c r="J12" s="20">
        <v>1.648490115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3">
        <v>45611.0</v>
      </c>
      <c r="B13" s="14">
        <v>4.89</v>
      </c>
      <c r="C13" s="15">
        <v>1.715398445</v>
      </c>
      <c r="D13" s="16">
        <f t="shared" si="1"/>
        <v>4.889999998</v>
      </c>
      <c r="E13" s="22">
        <v>-0.149259628</v>
      </c>
      <c r="F13" s="22">
        <v>-0.09214049</v>
      </c>
      <c r="G13" s="8"/>
      <c r="H13" s="18">
        <v>45495.0</v>
      </c>
      <c r="I13" s="19">
        <v>4.94</v>
      </c>
      <c r="J13" s="20">
        <v>1.721341989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3">
        <v>45641.0</v>
      </c>
      <c r="B14" s="14">
        <v>3.35</v>
      </c>
      <c r="C14" s="15">
        <v>1.508395522</v>
      </c>
      <c r="D14" s="16">
        <f t="shared" si="1"/>
        <v>3.350000001</v>
      </c>
      <c r="E14" s="22">
        <v>-0.207002923</v>
      </c>
      <c r="F14" s="22">
        <v>-0.057743295</v>
      </c>
      <c r="G14" s="8"/>
      <c r="H14" s="18">
        <v>45526.0</v>
      </c>
      <c r="I14" s="19">
        <v>4.69</v>
      </c>
      <c r="J14" s="20">
        <v>1.691214784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3">
        <v>45307.0</v>
      </c>
      <c r="B15" s="14">
        <v>4.14</v>
      </c>
      <c r="C15" s="15">
        <v>1.62098918</v>
      </c>
      <c r="D15" s="16">
        <f t="shared" si="1"/>
        <v>4.14</v>
      </c>
      <c r="E15" s="22">
        <v>0.112593658</v>
      </c>
      <c r="F15" s="22">
        <v>0.319596582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3">
        <v>45338.0</v>
      </c>
      <c r="B16" s="14">
        <v>4.42</v>
      </c>
      <c r="C16" s="15">
        <v>1.657461967</v>
      </c>
      <c r="D16" s="16">
        <f t="shared" si="1"/>
        <v>4.420000002</v>
      </c>
      <c r="E16" s="22">
        <v>0.036472787</v>
      </c>
      <c r="F16" s="22">
        <v>-0.076120871</v>
      </c>
      <c r="G16" s="8"/>
      <c r="H16" s="27" t="s">
        <v>23</v>
      </c>
      <c r="I16" s="27">
        <v>0.34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3">
        <v>45367.0</v>
      </c>
      <c r="B17" s="14">
        <v>4.45</v>
      </c>
      <c r="C17" s="15">
        <v>1.661278344</v>
      </c>
      <c r="D17" s="16">
        <f t="shared" si="1"/>
        <v>4.450000001</v>
      </c>
      <c r="E17" s="22">
        <v>0.003816377</v>
      </c>
      <c r="F17" s="22">
        <v>-0.03265641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3">
        <v>45398.0</v>
      </c>
      <c r="B18" s="14">
        <v>3.6</v>
      </c>
      <c r="C18" s="15">
        <v>1.545762796</v>
      </c>
      <c r="D18" s="16">
        <f t="shared" si="1"/>
        <v>3.600000002</v>
      </c>
      <c r="E18" s="22">
        <v>-0.115515548</v>
      </c>
      <c r="F18" s="22">
        <v>-0.119331925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24">
        <v>45428.0</v>
      </c>
      <c r="B19" s="14">
        <v>3.33</v>
      </c>
      <c r="C19" s="15">
        <v>1.505327652</v>
      </c>
      <c r="D19" s="16">
        <f t="shared" si="1"/>
        <v>3.330000001</v>
      </c>
      <c r="E19" s="22">
        <v>-0.040435144</v>
      </c>
      <c r="F19" s="22">
        <v>0.075080404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3">
        <v>45459.0</v>
      </c>
      <c r="B20" s="14">
        <v>3.45</v>
      </c>
      <c r="C20" s="15">
        <v>1.523556247</v>
      </c>
      <c r="D20" s="16">
        <f t="shared" si="1"/>
        <v>3.449999998</v>
      </c>
      <c r="E20" s="22">
        <v>0.018228595</v>
      </c>
      <c r="F20" s="22">
        <v>0.058663739</v>
      </c>
      <c r="G20" s="8"/>
      <c r="H20" s="25" t="s">
        <v>24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3">
        <v>45489.0</v>
      </c>
      <c r="B21" s="14">
        <v>3.21</v>
      </c>
      <c r="C21" s="15">
        <v>1.486660187</v>
      </c>
      <c r="D21" s="16">
        <f t="shared" si="1"/>
        <v>3.210000002</v>
      </c>
      <c r="E21" s="22">
        <v>-0.036896061</v>
      </c>
      <c r="F21" s="22">
        <v>-0.055124656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3">
        <v>45520.0</v>
      </c>
      <c r="B22" s="14">
        <v>2.79</v>
      </c>
      <c r="C22" s="15">
        <v>1.417442431</v>
      </c>
      <c r="D22" s="16">
        <f t="shared" si="1"/>
        <v>2.790000001</v>
      </c>
      <c r="E22" s="22">
        <v>-0.069217756</v>
      </c>
      <c r="F22" s="22">
        <v>-0.032321695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3">
        <v>45551.0</v>
      </c>
      <c r="B23" s="14">
        <v>3.07</v>
      </c>
      <c r="C23" s="15">
        <v>1.464289835</v>
      </c>
      <c r="D23" s="16">
        <f t="shared" si="1"/>
        <v>3.069999998</v>
      </c>
      <c r="E23" s="22">
        <v>0.046847405</v>
      </c>
      <c r="F23" s="22">
        <v>0.116065161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3">
        <v>45581.0</v>
      </c>
      <c r="B24" s="14">
        <v>3.31</v>
      </c>
      <c r="C24" s="15">
        <v>1.502247597</v>
      </c>
      <c r="D24" s="16">
        <f t="shared" si="1"/>
        <v>3.310000002</v>
      </c>
      <c r="E24" s="22">
        <v>0.037957761</v>
      </c>
      <c r="F24" s="22">
        <v>-0.008889643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3">
        <v>45612.0</v>
      </c>
      <c r="B25" s="14">
        <v>3.58</v>
      </c>
      <c r="C25" s="15">
        <v>1.542837652</v>
      </c>
      <c r="D25" s="16">
        <f t="shared" si="1"/>
        <v>3.579999999</v>
      </c>
      <c r="E25" s="22">
        <v>0.040590056</v>
      </c>
      <c r="F25" s="22">
        <v>0.002632294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3">
        <v>45642.0</v>
      </c>
      <c r="B26" s="14">
        <v>3.02</v>
      </c>
      <c r="C26" s="15">
        <v>1.456137413</v>
      </c>
      <c r="D26" s="16">
        <f t="shared" si="1"/>
        <v>3.019999997</v>
      </c>
      <c r="E26" s="22">
        <v>-0.086700239</v>
      </c>
      <c r="F26" s="22">
        <v>-0.127290294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3">
        <v>45308.0</v>
      </c>
      <c r="B27" s="14">
        <v>3.49</v>
      </c>
      <c r="C27" s="15">
        <v>1.529539317</v>
      </c>
      <c r="D27" s="16">
        <f t="shared" si="1"/>
        <v>3.489999997</v>
      </c>
      <c r="E27" s="22">
        <v>0.073401904</v>
      </c>
      <c r="F27" s="22">
        <v>0.160102143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3">
        <v>45339.0</v>
      </c>
      <c r="B28" s="14">
        <v>3.83</v>
      </c>
      <c r="C28" s="15">
        <v>1.578656286</v>
      </c>
      <c r="D28" s="16">
        <f t="shared" si="1"/>
        <v>3.830000002</v>
      </c>
      <c r="E28" s="22">
        <v>0.049116968</v>
      </c>
      <c r="F28" s="22">
        <v>-0.024284936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3">
        <v>45368.0</v>
      </c>
      <c r="B29" s="14">
        <v>3.61</v>
      </c>
      <c r="C29" s="15">
        <v>1.547221347</v>
      </c>
      <c r="D29" s="16">
        <f t="shared" si="1"/>
        <v>3.610000002</v>
      </c>
      <c r="E29" s="22">
        <v>-0.031434939</v>
      </c>
      <c r="F29" s="22">
        <v>-0.080551907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3">
        <v>45399.0</v>
      </c>
      <c r="B30" s="14">
        <v>4.17</v>
      </c>
      <c r="C30" s="15">
        <v>1.624973409</v>
      </c>
      <c r="D30" s="16">
        <f t="shared" si="1"/>
        <v>4.169999997</v>
      </c>
      <c r="E30" s="22">
        <v>0.077752063</v>
      </c>
      <c r="F30" s="22">
        <v>0.109187002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24">
        <v>45429.0</v>
      </c>
      <c r="B31" s="14">
        <v>4.33</v>
      </c>
      <c r="C31" s="15">
        <v>1.645909245</v>
      </c>
      <c r="D31" s="16">
        <f t="shared" si="1"/>
        <v>4.329999997</v>
      </c>
      <c r="E31" s="22">
        <v>0.020935836</v>
      </c>
      <c r="F31" s="22">
        <v>-0.056816227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3">
        <v>45460.0</v>
      </c>
      <c r="B32" s="14">
        <v>4.37</v>
      </c>
      <c r="C32" s="15">
        <v>1.651063165</v>
      </c>
      <c r="D32" s="16">
        <f t="shared" si="1"/>
        <v>4.369999997</v>
      </c>
      <c r="E32" s="22">
        <v>0.00515392</v>
      </c>
      <c r="F32" s="22">
        <v>-0.015781916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13">
        <v>45490.0</v>
      </c>
      <c r="B33" s="14">
        <v>3.88</v>
      </c>
      <c r="C33" s="15">
        <v>1.585633405</v>
      </c>
      <c r="D33" s="16">
        <f t="shared" si="1"/>
        <v>3.879999999</v>
      </c>
      <c r="E33" s="22">
        <v>-0.06542976</v>
      </c>
      <c r="F33" s="22">
        <v>-0.07058368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13">
        <v>45521.0</v>
      </c>
      <c r="B34" s="14">
        <v>3.82</v>
      </c>
      <c r="C34" s="15">
        <v>1.577253658</v>
      </c>
      <c r="D34" s="16">
        <f t="shared" si="1"/>
        <v>3.819999998</v>
      </c>
      <c r="E34" s="22">
        <v>-0.008379747</v>
      </c>
      <c r="F34" s="22">
        <v>0.057050013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13">
        <v>45552.0</v>
      </c>
      <c r="B35" s="14">
        <v>3.72</v>
      </c>
      <c r="C35" s="15">
        <v>1.563092213</v>
      </c>
      <c r="D35" s="16">
        <f t="shared" si="1"/>
        <v>3.719999999</v>
      </c>
      <c r="E35" s="22">
        <v>-0.014161445</v>
      </c>
      <c r="F35" s="22">
        <v>-0.005781698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13">
        <v>45582.0</v>
      </c>
      <c r="B36" s="14">
        <v>3.58</v>
      </c>
      <c r="C36" s="15">
        <v>1.542837652</v>
      </c>
      <c r="D36" s="16">
        <f t="shared" si="1"/>
        <v>3.579999999</v>
      </c>
      <c r="E36" s="22">
        <v>-0.020254561</v>
      </c>
      <c r="F36" s="22">
        <v>-0.006093116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13">
        <v>45613.0</v>
      </c>
      <c r="B37" s="14">
        <v>3.3</v>
      </c>
      <c r="C37" s="15">
        <v>1.500702961</v>
      </c>
      <c r="D37" s="16">
        <f t="shared" si="1"/>
        <v>3.299999997</v>
      </c>
      <c r="E37" s="22">
        <v>-0.042134691</v>
      </c>
      <c r="F37" s="22">
        <v>-0.02188013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13">
        <v>45643.0</v>
      </c>
      <c r="B38" s="14">
        <v>3.61</v>
      </c>
      <c r="C38" s="15">
        <v>1.547221347</v>
      </c>
      <c r="D38" s="16">
        <f t="shared" si="1"/>
        <v>3.610000002</v>
      </c>
      <c r="E38" s="22">
        <v>0.046518385</v>
      </c>
      <c r="F38" s="22">
        <v>0.088653076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13">
        <v>45309.0</v>
      </c>
      <c r="B39" s="14">
        <v>3.25</v>
      </c>
      <c r="C39" s="15">
        <v>1.492933086</v>
      </c>
      <c r="D39" s="16">
        <f t="shared" si="1"/>
        <v>3.250000003</v>
      </c>
      <c r="E39" s="22">
        <v>-0.054288261</v>
      </c>
      <c r="F39" s="22">
        <v>-0.100806646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13">
        <v>45340.0</v>
      </c>
      <c r="B40" s="14">
        <v>3.18</v>
      </c>
      <c r="C40" s="15">
        <v>1.481921575</v>
      </c>
      <c r="D40" s="16">
        <f t="shared" si="1"/>
        <v>3.180000002</v>
      </c>
      <c r="E40" s="22">
        <v>-0.011011511</v>
      </c>
      <c r="F40" s="22">
        <v>0.04327675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13">
        <v>45369.0</v>
      </c>
      <c r="B41" s="14">
        <v>3.4</v>
      </c>
      <c r="C41" s="15">
        <v>1.516012673</v>
      </c>
      <c r="D41" s="16">
        <f t="shared" si="1"/>
        <v>3.399999999</v>
      </c>
      <c r="E41" s="22">
        <v>0.034091098</v>
      </c>
      <c r="F41" s="22">
        <v>0.045102609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13">
        <v>45400.0</v>
      </c>
      <c r="B42" s="14">
        <v>3.41</v>
      </c>
      <c r="C42" s="15">
        <v>1.517527217</v>
      </c>
      <c r="D42" s="16">
        <f t="shared" si="1"/>
        <v>3.410000002</v>
      </c>
      <c r="E42" s="22">
        <v>0.001514544</v>
      </c>
      <c r="F42" s="22">
        <v>-0.032576555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24">
        <v>45430.0</v>
      </c>
      <c r="B43" s="14">
        <v>3.23</v>
      </c>
      <c r="C43" s="15">
        <v>1.489803045</v>
      </c>
      <c r="D43" s="16">
        <f t="shared" si="1"/>
        <v>3.23</v>
      </c>
      <c r="E43" s="22">
        <v>-0.027724172</v>
      </c>
      <c r="F43" s="22">
        <v>-0.029238715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13">
        <v>45461.0</v>
      </c>
      <c r="B44" s="14">
        <v>3.12</v>
      </c>
      <c r="C44" s="15">
        <v>1.47235509</v>
      </c>
      <c r="D44" s="16">
        <f t="shared" si="1"/>
        <v>3.120000002</v>
      </c>
      <c r="E44" s="22">
        <v>-0.017447955</v>
      </c>
      <c r="F44" s="22">
        <v>0.010276216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13">
        <v>45491.0</v>
      </c>
      <c r="B45" s="14">
        <v>3.18</v>
      </c>
      <c r="C45" s="15">
        <v>1.481921575</v>
      </c>
      <c r="D45" s="16">
        <f t="shared" si="1"/>
        <v>3.180000002</v>
      </c>
      <c r="E45" s="22">
        <v>0.009566485</v>
      </c>
      <c r="F45" s="22">
        <v>0.02701444</v>
      </c>
      <c r="G45" s="8"/>
      <c r="H45" s="25" t="s">
        <v>25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13">
        <v>45522.0</v>
      </c>
      <c r="B46" s="14">
        <v>3.2</v>
      </c>
      <c r="C46" s="15">
        <v>1.485083909</v>
      </c>
      <c r="D46" s="16">
        <f t="shared" si="1"/>
        <v>3.199999997</v>
      </c>
      <c r="E46" s="22">
        <v>0.003162335</v>
      </c>
      <c r="F46" s="22">
        <v>-0.00640415</v>
      </c>
      <c r="G46" s="8"/>
      <c r="H46" s="8"/>
      <c r="I46" s="8"/>
      <c r="J46" s="8"/>
      <c r="K46" s="8"/>
      <c r="L46" s="8"/>
      <c r="M46" s="8"/>
      <c r="N46" s="25" t="s">
        <v>26</v>
      </c>
      <c r="O46" s="8"/>
      <c r="P46" s="8"/>
      <c r="Q46" s="8"/>
      <c r="R46" s="8"/>
      <c r="S46" s="8"/>
      <c r="T46" s="8"/>
      <c r="U46" s="8"/>
      <c r="V46" s="8"/>
      <c r="W46" s="8"/>
    </row>
    <row r="47">
      <c r="A47" s="13">
        <v>45553.0</v>
      </c>
      <c r="B47" s="14">
        <v>2.88</v>
      </c>
      <c r="C47" s="15">
        <v>1.432825974</v>
      </c>
      <c r="D47" s="16">
        <f t="shared" si="1"/>
        <v>2.879999998</v>
      </c>
      <c r="E47" s="22">
        <v>-0.052257935</v>
      </c>
      <c r="F47" s="22">
        <v>-0.05542027</v>
      </c>
      <c r="G47" s="8"/>
      <c r="H47" s="8"/>
      <c r="I47" s="8"/>
      <c r="J47" s="8"/>
      <c r="K47" s="8"/>
      <c r="L47" s="8"/>
      <c r="M47" s="8"/>
      <c r="N47" s="25" t="s">
        <v>27</v>
      </c>
      <c r="O47" s="8"/>
      <c r="P47" s="8"/>
      <c r="Q47" s="8"/>
      <c r="R47" s="8"/>
      <c r="S47" s="8"/>
      <c r="T47" s="8"/>
      <c r="U47" s="8"/>
      <c r="V47" s="8"/>
      <c r="W47" s="8"/>
    </row>
    <row r="48">
      <c r="A48" s="13">
        <v>45583.0</v>
      </c>
      <c r="B48" s="14">
        <v>3.16</v>
      </c>
      <c r="C48" s="15">
        <v>1.478746086</v>
      </c>
      <c r="D48" s="16">
        <f t="shared" si="1"/>
        <v>3.160000001</v>
      </c>
      <c r="E48" s="22">
        <v>0.045920111</v>
      </c>
      <c r="F48" s="22">
        <v>0.098178047</v>
      </c>
      <c r="G48" s="8"/>
      <c r="H48" s="8"/>
      <c r="I48" s="8"/>
      <c r="J48" s="8"/>
      <c r="K48" s="8"/>
      <c r="L48" s="8"/>
      <c r="M48" s="8"/>
      <c r="N48" s="25" t="s">
        <v>28</v>
      </c>
      <c r="O48" s="8"/>
      <c r="P48" s="8"/>
      <c r="Q48" s="8"/>
      <c r="R48" s="8"/>
      <c r="S48" s="8"/>
      <c r="T48" s="8"/>
      <c r="U48" s="8"/>
      <c r="V48" s="8"/>
      <c r="W48" s="8"/>
    </row>
    <row r="49">
      <c r="A49" s="13">
        <v>45614.0</v>
      </c>
      <c r="B49" s="14">
        <v>3.23</v>
      </c>
      <c r="C49" s="15">
        <v>1.489803045</v>
      </c>
      <c r="D49" s="16">
        <f t="shared" si="1"/>
        <v>3.23</v>
      </c>
      <c r="E49" s="22">
        <v>0.011056959</v>
      </c>
      <c r="F49" s="22">
        <v>-0.034863152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13">
        <v>45644.0</v>
      </c>
      <c r="B50" s="14">
        <v>3.13</v>
      </c>
      <c r="C50" s="15">
        <v>1.473957885</v>
      </c>
      <c r="D50" s="16">
        <f t="shared" si="1"/>
        <v>3.129999999</v>
      </c>
      <c r="E50" s="22">
        <v>-0.01584516</v>
      </c>
      <c r="F50" s="22">
        <v>-0.026902119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13">
        <v>45310.0</v>
      </c>
      <c r="B51" s="14">
        <v>2.82</v>
      </c>
      <c r="C51" s="15">
        <v>1.422606199</v>
      </c>
      <c r="D51" s="16">
        <f t="shared" si="1"/>
        <v>2.819999999</v>
      </c>
      <c r="E51" s="22">
        <v>-0.051351686</v>
      </c>
      <c r="F51" s="22">
        <v>-0.035506526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13">
        <v>45341.0</v>
      </c>
      <c r="B52" s="14">
        <v>2.57</v>
      </c>
      <c r="C52" s="15">
        <v>1.37840634</v>
      </c>
      <c r="D52" s="16">
        <f t="shared" si="1"/>
        <v>2.570000001</v>
      </c>
      <c r="E52" s="22">
        <v>-0.044199859</v>
      </c>
      <c r="F52" s="22">
        <v>0.007151827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13">
        <v>45370.0</v>
      </c>
      <c r="B53" s="14">
        <v>2.48</v>
      </c>
      <c r="C53" s="15">
        <v>1.361800758</v>
      </c>
      <c r="D53" s="16">
        <f t="shared" si="1"/>
        <v>2.480000002</v>
      </c>
      <c r="E53" s="22">
        <v>-0.016605582</v>
      </c>
      <c r="F53" s="22">
        <v>0.027594277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13">
        <v>45401.0</v>
      </c>
      <c r="B54" s="14">
        <v>2.83</v>
      </c>
      <c r="C54" s="15">
        <v>1.424319395</v>
      </c>
      <c r="D54" s="16">
        <f t="shared" si="1"/>
        <v>2.830000001</v>
      </c>
      <c r="E54" s="22">
        <v>0.062518637</v>
      </c>
      <c r="F54" s="22">
        <v>0.079124219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24">
        <v>45431.0</v>
      </c>
      <c r="B55" s="14">
        <v>3.32</v>
      </c>
      <c r="C55" s="15">
        <v>1.503789155</v>
      </c>
      <c r="D55" s="16">
        <f t="shared" si="1"/>
        <v>3.32</v>
      </c>
      <c r="E55" s="22">
        <v>0.07946976</v>
      </c>
      <c r="F55" s="22">
        <v>0.016951123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13">
        <v>45462.0</v>
      </c>
      <c r="B56" s="14">
        <v>3.28</v>
      </c>
      <c r="C56" s="15">
        <v>1.497604398</v>
      </c>
      <c r="D56" s="16">
        <f t="shared" si="1"/>
        <v>3.279999998</v>
      </c>
      <c r="E56" s="22">
        <v>-0.006184757</v>
      </c>
      <c r="F56" s="22">
        <v>-0.085654517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13">
        <v>45492.0</v>
      </c>
      <c r="B57" s="14">
        <v>3.32</v>
      </c>
      <c r="C57" s="15">
        <v>1.503789155</v>
      </c>
      <c r="D57" s="16">
        <f t="shared" si="1"/>
        <v>3.32</v>
      </c>
      <c r="E57" s="22">
        <v>0.006184757</v>
      </c>
      <c r="F57" s="22">
        <v>0.012369513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13">
        <v>45523.0</v>
      </c>
      <c r="B58" s="14">
        <v>3.49</v>
      </c>
      <c r="C58" s="15">
        <v>1.529539317</v>
      </c>
      <c r="D58" s="16">
        <f t="shared" si="1"/>
        <v>3.489999997</v>
      </c>
      <c r="E58" s="22">
        <v>0.025750162</v>
      </c>
      <c r="F58" s="22">
        <v>0.019565406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13">
        <v>45554.0</v>
      </c>
      <c r="B59" s="14">
        <v>3.39</v>
      </c>
      <c r="C59" s="15">
        <v>1.514495187</v>
      </c>
      <c r="D59" s="16">
        <f t="shared" si="1"/>
        <v>3.390000003</v>
      </c>
      <c r="E59" s="22">
        <v>-0.015044131</v>
      </c>
      <c r="F59" s="22">
        <v>-0.040794293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13">
        <v>45584.0</v>
      </c>
      <c r="B60" s="14">
        <v>3.13</v>
      </c>
      <c r="C60" s="15">
        <v>1.473957885</v>
      </c>
      <c r="D60" s="16">
        <f t="shared" si="1"/>
        <v>3.129999999</v>
      </c>
      <c r="E60" s="22">
        <v>-0.040537301</v>
      </c>
      <c r="F60" s="22">
        <v>-0.025493171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13">
        <v>45615.0</v>
      </c>
      <c r="B61" s="14">
        <v>3.0</v>
      </c>
      <c r="C61" s="15">
        <v>1.452851502</v>
      </c>
      <c r="D61" s="16">
        <f t="shared" si="1"/>
        <v>3.000000002</v>
      </c>
      <c r="E61" s="22">
        <v>-0.021106384</v>
      </c>
      <c r="F61" s="22">
        <v>0.019430918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13">
        <v>45645.0</v>
      </c>
      <c r="B62" s="14">
        <v>2.72</v>
      </c>
      <c r="C62" s="15">
        <v>1.405249461</v>
      </c>
      <c r="D62" s="16">
        <f t="shared" si="1"/>
        <v>2.72</v>
      </c>
      <c r="E62" s="22">
        <v>-0.047602041</v>
      </c>
      <c r="F62" s="22">
        <v>-0.026495657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13">
        <v>45311.0</v>
      </c>
      <c r="B63" s="14">
        <v>2.68</v>
      </c>
      <c r="C63" s="15">
        <v>1.398188835</v>
      </c>
      <c r="D63" s="16">
        <f t="shared" si="1"/>
        <v>2.679999997</v>
      </c>
      <c r="E63" s="22">
        <v>-0.007060625</v>
      </c>
      <c r="F63" s="22">
        <v>0.040541415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13">
        <v>45342.0</v>
      </c>
      <c r="B64" s="14">
        <v>2.98</v>
      </c>
      <c r="C64" s="15">
        <v>1.4495511</v>
      </c>
      <c r="D64" s="16">
        <f t="shared" si="1"/>
        <v>2.980000001</v>
      </c>
      <c r="E64" s="22">
        <v>0.051362264</v>
      </c>
      <c r="F64" s="22">
        <v>0.05842289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13">
        <v>45371.0</v>
      </c>
      <c r="B65" s="14">
        <v>2.96</v>
      </c>
      <c r="C65" s="15">
        <v>1.446236046</v>
      </c>
      <c r="D65" s="16">
        <f t="shared" si="1"/>
        <v>2.959999999</v>
      </c>
      <c r="E65" s="22">
        <v>-0.003315054</v>
      </c>
      <c r="F65" s="22">
        <v>-0.054677318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13">
        <v>45402.0</v>
      </c>
      <c r="B66" s="14">
        <v>2.67</v>
      </c>
      <c r="C66" s="15">
        <v>1.396412825</v>
      </c>
      <c r="D66" s="16">
        <f t="shared" si="1"/>
        <v>2.669999999</v>
      </c>
      <c r="E66" s="22">
        <v>-0.049823221</v>
      </c>
      <c r="F66" s="22">
        <v>-0.046508168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24">
        <v>45432.0</v>
      </c>
      <c r="B67" s="14">
        <v>2.19</v>
      </c>
      <c r="C67" s="15">
        <v>1.305422215</v>
      </c>
      <c r="D67" s="16">
        <f t="shared" si="1"/>
        <v>2.19</v>
      </c>
      <c r="E67" s="22">
        <v>-0.09099061</v>
      </c>
      <c r="F67" s="22">
        <v>-0.041167389</v>
      </c>
      <c r="G67" s="8"/>
      <c r="H67" s="25" t="s">
        <v>29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13">
        <v>45463.0</v>
      </c>
      <c r="B68" s="14">
        <v>1.96</v>
      </c>
      <c r="C68" s="15">
        <v>1.257092005</v>
      </c>
      <c r="D68" s="16">
        <f t="shared" si="1"/>
        <v>1.960000001</v>
      </c>
      <c r="E68" s="22">
        <v>-0.04833021</v>
      </c>
      <c r="F68" s="22">
        <v>0.0426604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13">
        <v>45493.0</v>
      </c>
      <c r="B69" s="14">
        <v>1.54</v>
      </c>
      <c r="C69" s="15">
        <v>1.158129289</v>
      </c>
      <c r="D69" s="16">
        <f t="shared" si="1"/>
        <v>1.539999999</v>
      </c>
      <c r="E69" s="22">
        <v>-0.098962716</v>
      </c>
      <c r="F69" s="22">
        <v>-0.050632505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13">
        <v>45524.0</v>
      </c>
      <c r="B70" s="14">
        <v>1.32</v>
      </c>
      <c r="C70" s="15">
        <v>1.098993532</v>
      </c>
      <c r="D70" s="16">
        <f t="shared" si="1"/>
        <v>1.319999998</v>
      </c>
      <c r="E70" s="22">
        <v>-0.059135757</v>
      </c>
      <c r="F70" s="22">
        <v>0.039826959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13">
        <v>45555.0</v>
      </c>
      <c r="B71" s="14">
        <v>1.42</v>
      </c>
      <c r="C71" s="15">
        <v>1.126621506</v>
      </c>
      <c r="D71" s="16">
        <f t="shared" si="1"/>
        <v>1.420000001</v>
      </c>
      <c r="E71" s="22">
        <v>0.027627973</v>
      </c>
      <c r="F71" s="22">
        <v>0.08676373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13">
        <v>45585.0</v>
      </c>
      <c r="B72" s="14">
        <v>1.44</v>
      </c>
      <c r="C72" s="15">
        <v>1.131991712</v>
      </c>
      <c r="D72" s="16">
        <f t="shared" si="1"/>
        <v>1.439999998</v>
      </c>
      <c r="E72" s="22">
        <v>0.005370207</v>
      </c>
      <c r="F72" s="22">
        <v>-0.022257767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13">
        <v>45616.0</v>
      </c>
      <c r="B73" s="14">
        <v>1.59</v>
      </c>
      <c r="C73" s="15">
        <v>1.170779265</v>
      </c>
      <c r="D73" s="16">
        <f t="shared" si="1"/>
        <v>1.59</v>
      </c>
      <c r="E73" s="22">
        <v>0.038787552</v>
      </c>
      <c r="F73" s="22">
        <v>0.033417346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13">
        <v>45646.0</v>
      </c>
      <c r="B74" s="14">
        <v>1.68</v>
      </c>
      <c r="C74" s="15">
        <v>1.192903069</v>
      </c>
      <c r="D74" s="16">
        <f t="shared" si="1"/>
        <v>1.680000001</v>
      </c>
      <c r="E74" s="22">
        <v>0.022123804</v>
      </c>
      <c r="F74" s="22">
        <v>-0.016663749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13">
        <v>45312.0</v>
      </c>
      <c r="B75" s="14">
        <v>1.55</v>
      </c>
      <c r="C75" s="15">
        <v>1.160680738</v>
      </c>
      <c r="D75" s="16">
        <f t="shared" si="1"/>
        <v>1.549999998</v>
      </c>
      <c r="E75" s="22">
        <v>-0.03222233</v>
      </c>
      <c r="F75" s="22">
        <v>-0.054346134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13">
        <v>45343.0</v>
      </c>
      <c r="B76" s="14">
        <v>1.38</v>
      </c>
      <c r="C76" s="15">
        <v>1.115729432</v>
      </c>
      <c r="D76" s="16">
        <f t="shared" si="1"/>
        <v>1.380000002</v>
      </c>
      <c r="E76" s="22">
        <v>-0.044951307</v>
      </c>
      <c r="F76" s="22">
        <v>-0.012728977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13">
        <v>45372.0</v>
      </c>
      <c r="B77" s="14">
        <v>1.37</v>
      </c>
      <c r="C77" s="15">
        <v>1.112973933</v>
      </c>
      <c r="D77" s="16">
        <f t="shared" si="1"/>
        <v>1.37</v>
      </c>
      <c r="E77" s="22">
        <v>-0.002755499</v>
      </c>
      <c r="F77" s="22">
        <v>0.042195808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13">
        <v>45403.0</v>
      </c>
      <c r="B78" s="14">
        <v>1.42</v>
      </c>
      <c r="C78" s="15">
        <v>1.126621506</v>
      </c>
      <c r="D78" s="16">
        <f t="shared" si="1"/>
        <v>1.420000001</v>
      </c>
      <c r="E78" s="22">
        <v>0.013647573</v>
      </c>
      <c r="F78" s="22">
        <v>0.016403071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24">
        <v>45433.0</v>
      </c>
      <c r="B79" s="14">
        <v>1.68</v>
      </c>
      <c r="C79" s="15">
        <v>1.192903069</v>
      </c>
      <c r="D79" s="16">
        <f t="shared" si="1"/>
        <v>1.680000001</v>
      </c>
      <c r="E79" s="22">
        <v>0.066281563</v>
      </c>
      <c r="F79" s="22">
        <v>0.05263399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13">
        <v>45464.0</v>
      </c>
      <c r="B80" s="14">
        <v>1.33</v>
      </c>
      <c r="C80" s="15">
        <v>1.101817226</v>
      </c>
      <c r="D80" s="16">
        <f t="shared" si="1"/>
        <v>1.33</v>
      </c>
      <c r="E80" s="22">
        <v>-0.091085843</v>
      </c>
      <c r="F80" s="22">
        <v>-0.157367406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13">
        <v>45494.0</v>
      </c>
      <c r="B81" s="14">
        <v>1.52</v>
      </c>
      <c r="C81" s="15">
        <v>1.152993396</v>
      </c>
      <c r="D81" s="16">
        <f t="shared" si="1"/>
        <v>1.519999999</v>
      </c>
      <c r="E81" s="22">
        <v>0.05117617</v>
      </c>
      <c r="F81" s="22">
        <v>0.142262013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13">
        <v>45525.0</v>
      </c>
      <c r="B82" s="14">
        <v>1.59</v>
      </c>
      <c r="C82" s="15">
        <v>1.170779265</v>
      </c>
      <c r="D82" s="16">
        <f t="shared" si="1"/>
        <v>1.59</v>
      </c>
      <c r="E82" s="22">
        <v>0.017785869</v>
      </c>
      <c r="F82" s="22">
        <v>-0.033390302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8"/>
      <c r="B91" s="8"/>
      <c r="C91" s="8"/>
      <c r="D91" s="8"/>
      <c r="E91" s="8"/>
      <c r="F91" s="8"/>
      <c r="G91" s="8"/>
      <c r="H91" s="25" t="s">
        <v>30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</sheetData>
  <mergeCells count="5">
    <mergeCell ref="A1:F1"/>
    <mergeCell ref="H1:J1"/>
    <mergeCell ref="M1:N1"/>
    <mergeCell ref="L2:L3"/>
    <mergeCell ref="L4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71"/>
    <col customWidth="1" min="8" max="8" width="14.71"/>
  </cols>
  <sheetData>
    <row r="1">
      <c r="A1" s="28" t="s">
        <v>31</v>
      </c>
      <c r="B1" s="28" t="s">
        <v>6</v>
      </c>
      <c r="C1" s="29" t="s">
        <v>32</v>
      </c>
      <c r="D1" s="29" t="s">
        <v>33</v>
      </c>
      <c r="E1" s="29" t="s">
        <v>34</v>
      </c>
      <c r="F1" s="29" t="s">
        <v>35</v>
      </c>
      <c r="G1" s="29" t="s">
        <v>36</v>
      </c>
      <c r="H1" s="30" t="s">
        <v>37</v>
      </c>
    </row>
    <row r="2">
      <c r="A2" s="31">
        <v>6.96</v>
      </c>
      <c r="B2" s="32">
        <v>1.934136592</v>
      </c>
      <c r="C2" s="31" t="s">
        <v>13</v>
      </c>
      <c r="D2" s="31" t="s">
        <v>13</v>
      </c>
      <c r="E2" s="31" t="s">
        <v>13</v>
      </c>
      <c r="F2" s="31" t="s">
        <v>13</v>
      </c>
      <c r="G2" s="31" t="s">
        <v>13</v>
      </c>
      <c r="H2" s="31" t="s">
        <v>13</v>
      </c>
    </row>
    <row r="3">
      <c r="A3" s="31">
        <v>6.29</v>
      </c>
      <c r="B3" s="32">
        <v>1.86870703</v>
      </c>
      <c r="C3" s="33">
        <f t="shared" ref="C3:C93" si="1">B2</f>
        <v>1.934136592</v>
      </c>
      <c r="D3" s="34">
        <f t="shared" ref="D3:D93" si="2">C3^(1/0.34)</f>
        <v>6.959999999</v>
      </c>
      <c r="E3" s="34">
        <f t="shared" ref="E3:E93" si="3">A3-D3</f>
        <v>-0.6699999988</v>
      </c>
      <c r="F3" s="34">
        <f t="shared" ref="F3:F82" si="4">E3/A3</f>
        <v>-0.1065182828</v>
      </c>
      <c r="G3" s="34">
        <f t="shared" ref="G3:G82" si="5">ABS(E3)/A3</f>
        <v>0.1065182828</v>
      </c>
      <c r="H3" s="34">
        <f t="shared" ref="H3:H93" si="6">E3^2</f>
        <v>0.4488999984</v>
      </c>
      <c r="I3" s="35" t="s">
        <v>21</v>
      </c>
    </row>
    <row r="4">
      <c r="A4" s="31">
        <v>6.38</v>
      </c>
      <c r="B4" s="32">
        <v>1.877755448</v>
      </c>
      <c r="C4" s="33">
        <f t="shared" si="1"/>
        <v>1.86870703</v>
      </c>
      <c r="D4" s="34">
        <f t="shared" si="2"/>
        <v>6.289999998</v>
      </c>
      <c r="E4" s="34">
        <f t="shared" si="3"/>
        <v>0.0900000024</v>
      </c>
      <c r="F4" s="34">
        <f t="shared" si="4"/>
        <v>0.01410658345</v>
      </c>
      <c r="G4" s="34">
        <f t="shared" si="5"/>
        <v>0.01410658345</v>
      </c>
      <c r="H4" s="34">
        <f t="shared" si="6"/>
        <v>0.008100000432</v>
      </c>
    </row>
    <row r="5">
      <c r="A5" s="31">
        <v>6.79</v>
      </c>
      <c r="B5" s="32">
        <v>1.91794312</v>
      </c>
      <c r="C5" s="33">
        <f t="shared" si="1"/>
        <v>1.877755448</v>
      </c>
      <c r="D5" s="34">
        <f t="shared" si="2"/>
        <v>6.379999997</v>
      </c>
      <c r="E5" s="34">
        <f t="shared" si="3"/>
        <v>0.4100000033</v>
      </c>
      <c r="F5" s="34">
        <f t="shared" si="4"/>
        <v>0.06038291654</v>
      </c>
      <c r="G5" s="34">
        <f t="shared" si="5"/>
        <v>0.06038291654</v>
      </c>
      <c r="H5" s="34">
        <f t="shared" si="6"/>
        <v>0.1681000027</v>
      </c>
    </row>
    <row r="6">
      <c r="A6" s="31">
        <v>7.15</v>
      </c>
      <c r="B6" s="32">
        <v>1.95192917</v>
      </c>
      <c r="C6" s="33">
        <f t="shared" si="1"/>
        <v>1.91794312</v>
      </c>
      <c r="D6" s="34">
        <f t="shared" si="2"/>
        <v>6.79</v>
      </c>
      <c r="E6" s="34">
        <f t="shared" si="3"/>
        <v>0.3600000001</v>
      </c>
      <c r="F6" s="34">
        <f t="shared" si="4"/>
        <v>0.05034965036</v>
      </c>
      <c r="G6" s="34">
        <f t="shared" si="5"/>
        <v>0.05034965036</v>
      </c>
      <c r="H6" s="34">
        <f t="shared" si="6"/>
        <v>0.1296000001</v>
      </c>
    </row>
    <row r="7">
      <c r="A7" s="31">
        <v>7.26</v>
      </c>
      <c r="B7" s="32">
        <v>1.962087862</v>
      </c>
      <c r="C7" s="33">
        <f t="shared" si="1"/>
        <v>1.95192917</v>
      </c>
      <c r="D7" s="34">
        <f t="shared" si="2"/>
        <v>7.150000004</v>
      </c>
      <c r="E7" s="34">
        <f t="shared" si="3"/>
        <v>0.109999996</v>
      </c>
      <c r="F7" s="34">
        <f t="shared" si="4"/>
        <v>0.0151515146</v>
      </c>
      <c r="G7" s="34">
        <f t="shared" si="5"/>
        <v>0.0151515146</v>
      </c>
      <c r="H7" s="34">
        <f t="shared" si="6"/>
        <v>0.01209999911</v>
      </c>
    </row>
    <row r="8">
      <c r="A8" s="31">
        <v>7.26</v>
      </c>
      <c r="B8" s="32">
        <v>1.962087862</v>
      </c>
      <c r="C8" s="33">
        <f t="shared" si="1"/>
        <v>1.962087862</v>
      </c>
      <c r="D8" s="34">
        <f t="shared" si="2"/>
        <v>7.260000004</v>
      </c>
      <c r="E8" s="34">
        <f t="shared" si="3"/>
        <v>-0.000000004084050431</v>
      </c>
      <c r="F8" s="34">
        <f t="shared" si="4"/>
        <v>-0.0000000005625413817</v>
      </c>
      <c r="G8" s="34">
        <f t="shared" si="5"/>
        <v>0.0000000005625413817</v>
      </c>
      <c r="H8" s="34">
        <f t="shared" si="6"/>
        <v>0</v>
      </c>
    </row>
    <row r="9">
      <c r="A9" s="31">
        <v>7.18</v>
      </c>
      <c r="B9" s="32">
        <v>1.954709893</v>
      </c>
      <c r="C9" s="33">
        <f t="shared" si="1"/>
        <v>1.962087862</v>
      </c>
      <c r="D9" s="34">
        <f t="shared" si="2"/>
        <v>7.260000004</v>
      </c>
      <c r="E9" s="34">
        <f t="shared" si="3"/>
        <v>-0.08000000408</v>
      </c>
      <c r="F9" s="34">
        <f t="shared" si="4"/>
        <v>-0.01114206185</v>
      </c>
      <c r="G9" s="34">
        <f t="shared" si="5"/>
        <v>0.01114206185</v>
      </c>
      <c r="H9" s="34">
        <f t="shared" si="6"/>
        <v>0.006400000653</v>
      </c>
    </row>
    <row r="10">
      <c r="A10" s="31">
        <v>6.83</v>
      </c>
      <c r="B10" s="32">
        <v>1.921777212</v>
      </c>
      <c r="C10" s="33">
        <f t="shared" si="1"/>
        <v>1.954709893</v>
      </c>
      <c r="D10" s="34">
        <f t="shared" si="2"/>
        <v>7.179999997</v>
      </c>
      <c r="E10" s="34">
        <f t="shared" si="3"/>
        <v>-0.349999997</v>
      </c>
      <c r="F10" s="34">
        <f t="shared" si="4"/>
        <v>-0.05124450908</v>
      </c>
      <c r="G10" s="34">
        <f t="shared" si="5"/>
        <v>0.05124450908</v>
      </c>
      <c r="H10" s="34">
        <f t="shared" si="6"/>
        <v>0.1224999979</v>
      </c>
    </row>
    <row r="11">
      <c r="A11" s="31">
        <v>6.25</v>
      </c>
      <c r="B11" s="32">
        <v>1.864658073</v>
      </c>
      <c r="C11" s="33">
        <f t="shared" si="1"/>
        <v>1.921777212</v>
      </c>
      <c r="D11" s="34">
        <f t="shared" si="2"/>
        <v>6.830000003</v>
      </c>
      <c r="E11" s="34">
        <f t="shared" si="3"/>
        <v>-0.5800000028</v>
      </c>
      <c r="F11" s="34">
        <f t="shared" si="4"/>
        <v>-0.09280000045</v>
      </c>
      <c r="G11" s="34">
        <f t="shared" si="5"/>
        <v>0.09280000045</v>
      </c>
      <c r="H11" s="34">
        <f t="shared" si="6"/>
        <v>0.3364000032</v>
      </c>
    </row>
    <row r="12">
      <c r="A12" s="31">
        <v>4.89</v>
      </c>
      <c r="B12" s="32">
        <v>1.715398445</v>
      </c>
      <c r="C12" s="33">
        <f t="shared" si="1"/>
        <v>1.864658073</v>
      </c>
      <c r="D12" s="34">
        <f t="shared" si="2"/>
        <v>6.249999995</v>
      </c>
      <c r="E12" s="34">
        <f t="shared" si="3"/>
        <v>-1.359999995</v>
      </c>
      <c r="F12" s="34">
        <f t="shared" si="4"/>
        <v>-0.2781186084</v>
      </c>
      <c r="G12" s="34">
        <f t="shared" si="5"/>
        <v>0.2781186084</v>
      </c>
      <c r="H12" s="34">
        <f t="shared" si="6"/>
        <v>1.849599987</v>
      </c>
    </row>
    <row r="13">
      <c r="A13" s="31">
        <v>3.35</v>
      </c>
      <c r="B13" s="32">
        <v>1.508395522</v>
      </c>
      <c r="C13" s="33">
        <f t="shared" si="1"/>
        <v>1.715398445</v>
      </c>
      <c r="D13" s="34">
        <f t="shared" si="2"/>
        <v>4.889999998</v>
      </c>
      <c r="E13" s="34">
        <f t="shared" si="3"/>
        <v>-1.539999998</v>
      </c>
      <c r="F13" s="34">
        <f t="shared" si="4"/>
        <v>-0.4597014921</v>
      </c>
      <c r="G13" s="34">
        <f t="shared" si="5"/>
        <v>0.4597014921</v>
      </c>
      <c r="H13" s="34">
        <f t="shared" si="6"/>
        <v>2.371599995</v>
      </c>
    </row>
    <row r="14">
      <c r="A14" s="31">
        <v>4.14</v>
      </c>
      <c r="B14" s="32">
        <v>1.62098918</v>
      </c>
      <c r="C14" s="33">
        <f t="shared" si="1"/>
        <v>1.508395522</v>
      </c>
      <c r="D14" s="34">
        <f t="shared" si="2"/>
        <v>3.350000001</v>
      </c>
      <c r="E14" s="34">
        <f t="shared" si="3"/>
        <v>0.789999999</v>
      </c>
      <c r="F14" s="34">
        <f t="shared" si="4"/>
        <v>0.1908212558</v>
      </c>
      <c r="G14" s="34">
        <f t="shared" si="5"/>
        <v>0.1908212558</v>
      </c>
      <c r="H14" s="34">
        <f t="shared" si="6"/>
        <v>0.6240999984</v>
      </c>
    </row>
    <row r="15">
      <c r="A15" s="31">
        <v>4.42</v>
      </c>
      <c r="B15" s="32">
        <v>1.657461967</v>
      </c>
      <c r="C15" s="33">
        <f t="shared" si="1"/>
        <v>1.62098918</v>
      </c>
      <c r="D15" s="34">
        <f t="shared" si="2"/>
        <v>4.14</v>
      </c>
      <c r="E15" s="34">
        <f t="shared" si="3"/>
        <v>0.2800000003</v>
      </c>
      <c r="F15" s="34">
        <f t="shared" si="4"/>
        <v>0.06334841636</v>
      </c>
      <c r="G15" s="34">
        <f t="shared" si="5"/>
        <v>0.06334841636</v>
      </c>
      <c r="H15" s="34">
        <f t="shared" si="6"/>
        <v>0.07840000017</v>
      </c>
    </row>
    <row r="16">
      <c r="A16" s="31">
        <v>4.45</v>
      </c>
      <c r="B16" s="32">
        <v>1.661278344</v>
      </c>
      <c r="C16" s="33">
        <f t="shared" si="1"/>
        <v>1.657461967</v>
      </c>
      <c r="D16" s="34">
        <f t="shared" si="2"/>
        <v>4.420000002</v>
      </c>
      <c r="E16" s="34">
        <f t="shared" si="3"/>
        <v>0.02999999817</v>
      </c>
      <c r="F16" s="34">
        <f t="shared" si="4"/>
        <v>0.006741572621</v>
      </c>
      <c r="G16" s="34">
        <f t="shared" si="5"/>
        <v>0.006741572621</v>
      </c>
      <c r="H16" s="34">
        <f t="shared" si="6"/>
        <v>0.0008999998899</v>
      </c>
    </row>
    <row r="17">
      <c r="A17" s="31">
        <v>3.6</v>
      </c>
      <c r="B17" s="32">
        <v>1.545762796</v>
      </c>
      <c r="C17" s="33">
        <f t="shared" si="1"/>
        <v>1.661278344</v>
      </c>
      <c r="D17" s="34">
        <f t="shared" si="2"/>
        <v>4.450000001</v>
      </c>
      <c r="E17" s="34">
        <f t="shared" si="3"/>
        <v>-0.8500000007</v>
      </c>
      <c r="F17" s="34">
        <f t="shared" si="4"/>
        <v>-0.2361111113</v>
      </c>
      <c r="G17" s="34">
        <f t="shared" si="5"/>
        <v>0.2361111113</v>
      </c>
      <c r="H17" s="34">
        <f t="shared" si="6"/>
        <v>0.7225000011</v>
      </c>
    </row>
    <row r="18">
      <c r="A18" s="31">
        <v>3.33</v>
      </c>
      <c r="B18" s="32">
        <v>1.505327652</v>
      </c>
      <c r="C18" s="33">
        <f t="shared" si="1"/>
        <v>1.545762796</v>
      </c>
      <c r="D18" s="34">
        <f t="shared" si="2"/>
        <v>3.600000002</v>
      </c>
      <c r="E18" s="34">
        <f t="shared" si="3"/>
        <v>-0.2700000016</v>
      </c>
      <c r="F18" s="34">
        <f t="shared" si="4"/>
        <v>-0.08108108155</v>
      </c>
      <c r="G18" s="34">
        <f t="shared" si="5"/>
        <v>0.08108108155</v>
      </c>
      <c r="H18" s="34">
        <f t="shared" si="6"/>
        <v>0.07290000084</v>
      </c>
    </row>
    <row r="19">
      <c r="A19" s="31">
        <v>3.45</v>
      </c>
      <c r="B19" s="32">
        <v>1.523556247</v>
      </c>
      <c r="C19" s="33">
        <f t="shared" si="1"/>
        <v>1.505327652</v>
      </c>
      <c r="D19" s="34">
        <f t="shared" si="2"/>
        <v>3.330000001</v>
      </c>
      <c r="E19" s="34">
        <f t="shared" si="3"/>
        <v>0.1199999988</v>
      </c>
      <c r="F19" s="34">
        <f t="shared" si="4"/>
        <v>0.03478260836</v>
      </c>
      <c r="G19" s="34">
        <f t="shared" si="5"/>
        <v>0.03478260836</v>
      </c>
      <c r="H19" s="34">
        <f t="shared" si="6"/>
        <v>0.01439999972</v>
      </c>
    </row>
    <row r="20">
      <c r="A20" s="31">
        <v>3.21</v>
      </c>
      <c r="B20" s="32">
        <v>1.486660187</v>
      </c>
      <c r="C20" s="33">
        <f t="shared" si="1"/>
        <v>1.523556247</v>
      </c>
      <c r="D20" s="34">
        <f t="shared" si="2"/>
        <v>3.449999998</v>
      </c>
      <c r="E20" s="34">
        <f t="shared" si="3"/>
        <v>-0.239999998</v>
      </c>
      <c r="F20" s="34">
        <f t="shared" si="4"/>
        <v>-0.07476635451</v>
      </c>
      <c r="G20" s="34">
        <f t="shared" si="5"/>
        <v>0.07476635451</v>
      </c>
      <c r="H20" s="34">
        <f t="shared" si="6"/>
        <v>0.05759999903</v>
      </c>
    </row>
    <row r="21">
      <c r="A21" s="31">
        <v>2.79</v>
      </c>
      <c r="B21" s="32">
        <v>1.417442431</v>
      </c>
      <c r="C21" s="33">
        <f t="shared" si="1"/>
        <v>1.486660187</v>
      </c>
      <c r="D21" s="34">
        <f t="shared" si="2"/>
        <v>3.210000002</v>
      </c>
      <c r="E21" s="34">
        <f t="shared" si="3"/>
        <v>-0.4200000019</v>
      </c>
      <c r="F21" s="34">
        <f t="shared" si="4"/>
        <v>-0.1505376351</v>
      </c>
      <c r="G21" s="34">
        <f t="shared" si="5"/>
        <v>0.1505376351</v>
      </c>
      <c r="H21" s="34">
        <f t="shared" si="6"/>
        <v>0.1764000016</v>
      </c>
    </row>
    <row r="22">
      <c r="A22" s="31">
        <v>3.07</v>
      </c>
      <c r="B22" s="32">
        <v>1.464289835</v>
      </c>
      <c r="C22" s="33">
        <f t="shared" si="1"/>
        <v>1.417442431</v>
      </c>
      <c r="D22" s="34">
        <f t="shared" si="2"/>
        <v>2.790000001</v>
      </c>
      <c r="E22" s="34">
        <f t="shared" si="3"/>
        <v>0.2799999987</v>
      </c>
      <c r="F22" s="34">
        <f t="shared" si="4"/>
        <v>0.0912052113</v>
      </c>
      <c r="G22" s="34">
        <f t="shared" si="5"/>
        <v>0.0912052113</v>
      </c>
      <c r="H22" s="34">
        <f t="shared" si="6"/>
        <v>0.07839999926</v>
      </c>
    </row>
    <row r="23">
      <c r="A23" s="31">
        <v>3.31</v>
      </c>
      <c r="B23" s="32">
        <v>1.502247597</v>
      </c>
      <c r="C23" s="33">
        <f t="shared" si="1"/>
        <v>1.464289835</v>
      </c>
      <c r="D23" s="34">
        <f t="shared" si="2"/>
        <v>3.069999998</v>
      </c>
      <c r="E23" s="34">
        <f t="shared" si="3"/>
        <v>0.2400000025</v>
      </c>
      <c r="F23" s="34">
        <f t="shared" si="4"/>
        <v>0.07250755361</v>
      </c>
      <c r="G23" s="34">
        <f t="shared" si="5"/>
        <v>0.07250755361</v>
      </c>
      <c r="H23" s="34">
        <f t="shared" si="6"/>
        <v>0.05760000118</v>
      </c>
    </row>
    <row r="24">
      <c r="A24" s="31">
        <v>3.58</v>
      </c>
      <c r="B24" s="32">
        <v>1.542837652</v>
      </c>
      <c r="C24" s="33">
        <f t="shared" si="1"/>
        <v>1.502247597</v>
      </c>
      <c r="D24" s="34">
        <f t="shared" si="2"/>
        <v>3.310000002</v>
      </c>
      <c r="E24" s="34">
        <f t="shared" si="3"/>
        <v>0.2699999977</v>
      </c>
      <c r="F24" s="34">
        <f t="shared" si="4"/>
        <v>0.07541899377</v>
      </c>
      <c r="G24" s="34">
        <f t="shared" si="5"/>
        <v>0.07541899377</v>
      </c>
      <c r="H24" s="34">
        <f t="shared" si="6"/>
        <v>0.07289999875</v>
      </c>
    </row>
    <row r="25">
      <c r="A25" s="31">
        <v>3.02</v>
      </c>
      <c r="B25" s="32">
        <v>1.456137413</v>
      </c>
      <c r="C25" s="33">
        <f t="shared" si="1"/>
        <v>1.542837652</v>
      </c>
      <c r="D25" s="34">
        <f t="shared" si="2"/>
        <v>3.579999999</v>
      </c>
      <c r="E25" s="34">
        <f t="shared" si="3"/>
        <v>-0.5599999989</v>
      </c>
      <c r="F25" s="34">
        <f t="shared" si="4"/>
        <v>-0.1854304632</v>
      </c>
      <c r="G25" s="34">
        <f t="shared" si="5"/>
        <v>0.1854304632</v>
      </c>
      <c r="H25" s="34">
        <f t="shared" si="6"/>
        <v>0.3135999987</v>
      </c>
      <c r="I25" s="35" t="s">
        <v>38</v>
      </c>
    </row>
    <row r="26">
      <c r="A26" s="31">
        <v>3.49</v>
      </c>
      <c r="B26" s="32">
        <v>1.529539317</v>
      </c>
      <c r="C26" s="33">
        <f t="shared" si="1"/>
        <v>1.456137413</v>
      </c>
      <c r="D26" s="34">
        <f t="shared" si="2"/>
        <v>3.019999997</v>
      </c>
      <c r="E26" s="34">
        <f t="shared" si="3"/>
        <v>0.4700000026</v>
      </c>
      <c r="F26" s="34">
        <f t="shared" si="4"/>
        <v>0.1346704878</v>
      </c>
      <c r="G26" s="34">
        <f t="shared" si="5"/>
        <v>0.1346704878</v>
      </c>
      <c r="H26" s="34">
        <f t="shared" si="6"/>
        <v>0.2209000024</v>
      </c>
    </row>
    <row r="27">
      <c r="A27" s="31">
        <v>3.83</v>
      </c>
      <c r="B27" s="32">
        <v>1.578656286</v>
      </c>
      <c r="C27" s="33">
        <f t="shared" si="1"/>
        <v>1.529539317</v>
      </c>
      <c r="D27" s="34">
        <f t="shared" si="2"/>
        <v>3.489999997</v>
      </c>
      <c r="E27" s="34">
        <f t="shared" si="3"/>
        <v>0.3400000025</v>
      </c>
      <c r="F27" s="34">
        <f t="shared" si="4"/>
        <v>0.08877284662</v>
      </c>
      <c r="G27" s="34">
        <f t="shared" si="5"/>
        <v>0.08877284662</v>
      </c>
      <c r="H27" s="34">
        <f t="shared" si="6"/>
        <v>0.1156000017</v>
      </c>
    </row>
    <row r="28">
      <c r="A28" s="31">
        <v>3.61</v>
      </c>
      <c r="B28" s="32">
        <v>1.547221347</v>
      </c>
      <c r="C28" s="33">
        <f t="shared" si="1"/>
        <v>1.578656286</v>
      </c>
      <c r="D28" s="34">
        <f t="shared" si="2"/>
        <v>3.830000002</v>
      </c>
      <c r="E28" s="34">
        <f t="shared" si="3"/>
        <v>-0.2200000024</v>
      </c>
      <c r="F28" s="34">
        <f t="shared" si="4"/>
        <v>-0.06094182893</v>
      </c>
      <c r="G28" s="34">
        <f t="shared" si="5"/>
        <v>0.06094182893</v>
      </c>
      <c r="H28" s="34">
        <f t="shared" si="6"/>
        <v>0.04840000107</v>
      </c>
    </row>
    <row r="29">
      <c r="A29" s="31">
        <v>4.17</v>
      </c>
      <c r="B29" s="32">
        <v>1.624973409</v>
      </c>
      <c r="C29" s="33">
        <f t="shared" si="1"/>
        <v>1.547221347</v>
      </c>
      <c r="D29" s="34">
        <f t="shared" si="2"/>
        <v>3.610000002</v>
      </c>
      <c r="E29" s="34">
        <f t="shared" si="3"/>
        <v>0.5599999978</v>
      </c>
      <c r="F29" s="34">
        <f t="shared" si="4"/>
        <v>0.1342925654</v>
      </c>
      <c r="G29" s="34">
        <f t="shared" si="5"/>
        <v>0.1342925654</v>
      </c>
      <c r="H29" s="34">
        <f t="shared" si="6"/>
        <v>0.3135999975</v>
      </c>
    </row>
    <row r="30">
      <c r="A30" s="31">
        <v>4.33</v>
      </c>
      <c r="B30" s="32">
        <v>1.645909245</v>
      </c>
      <c r="C30" s="33">
        <f t="shared" si="1"/>
        <v>1.624973409</v>
      </c>
      <c r="D30" s="34">
        <f t="shared" si="2"/>
        <v>4.169999997</v>
      </c>
      <c r="E30" s="34">
        <f t="shared" si="3"/>
        <v>0.1600000027</v>
      </c>
      <c r="F30" s="34">
        <f t="shared" si="4"/>
        <v>0.03695150178</v>
      </c>
      <c r="G30" s="34">
        <f t="shared" si="5"/>
        <v>0.03695150178</v>
      </c>
      <c r="H30" s="34">
        <f t="shared" si="6"/>
        <v>0.02560000086</v>
      </c>
    </row>
    <row r="31">
      <c r="A31" s="31">
        <v>4.37</v>
      </c>
      <c r="B31" s="32">
        <v>1.651063165</v>
      </c>
      <c r="C31" s="33">
        <f t="shared" si="1"/>
        <v>1.645909245</v>
      </c>
      <c r="D31" s="34">
        <f t="shared" si="2"/>
        <v>4.329999997</v>
      </c>
      <c r="E31" s="34">
        <f t="shared" si="3"/>
        <v>0.04000000312</v>
      </c>
      <c r="F31" s="34">
        <f t="shared" si="4"/>
        <v>0.009153318792</v>
      </c>
      <c r="G31" s="34">
        <f t="shared" si="5"/>
        <v>0.009153318792</v>
      </c>
      <c r="H31" s="34">
        <f t="shared" si="6"/>
        <v>0.00160000025</v>
      </c>
    </row>
    <row r="32">
      <c r="A32" s="31">
        <v>3.88</v>
      </c>
      <c r="B32" s="32">
        <v>1.585633405</v>
      </c>
      <c r="C32" s="33">
        <f t="shared" si="1"/>
        <v>1.651063165</v>
      </c>
      <c r="D32" s="34">
        <f t="shared" si="2"/>
        <v>4.369999997</v>
      </c>
      <c r="E32" s="34">
        <f t="shared" si="3"/>
        <v>-0.4899999967</v>
      </c>
      <c r="F32" s="34">
        <f t="shared" si="4"/>
        <v>-0.1262886589</v>
      </c>
      <c r="G32" s="34">
        <f t="shared" si="5"/>
        <v>0.1262886589</v>
      </c>
      <c r="H32" s="34">
        <f t="shared" si="6"/>
        <v>0.2400999967</v>
      </c>
    </row>
    <row r="33">
      <c r="A33" s="31">
        <v>3.82</v>
      </c>
      <c r="B33" s="32">
        <v>1.577253658</v>
      </c>
      <c r="C33" s="33">
        <f t="shared" si="1"/>
        <v>1.585633405</v>
      </c>
      <c r="D33" s="34">
        <f t="shared" si="2"/>
        <v>3.879999999</v>
      </c>
      <c r="E33" s="34">
        <f t="shared" si="3"/>
        <v>-0.05999999852</v>
      </c>
      <c r="F33" s="34">
        <f t="shared" si="4"/>
        <v>-0.0157068059</v>
      </c>
      <c r="G33" s="34">
        <f t="shared" si="5"/>
        <v>0.0157068059</v>
      </c>
      <c r="H33" s="34">
        <f t="shared" si="6"/>
        <v>0.003599999822</v>
      </c>
    </row>
    <row r="34">
      <c r="A34" s="31">
        <v>3.72</v>
      </c>
      <c r="B34" s="32">
        <v>1.563092213</v>
      </c>
      <c r="C34" s="33">
        <f t="shared" si="1"/>
        <v>1.577253658</v>
      </c>
      <c r="D34" s="34">
        <f t="shared" si="2"/>
        <v>3.819999998</v>
      </c>
      <c r="E34" s="34">
        <f t="shared" si="3"/>
        <v>-0.09999999778</v>
      </c>
      <c r="F34" s="34">
        <f t="shared" si="4"/>
        <v>-0.02688171983</v>
      </c>
      <c r="G34" s="34">
        <f t="shared" si="5"/>
        <v>0.02688171983</v>
      </c>
      <c r="H34" s="34">
        <f t="shared" si="6"/>
        <v>0.009999999556</v>
      </c>
    </row>
    <row r="35">
      <c r="A35" s="31">
        <v>3.58</v>
      </c>
      <c r="B35" s="32">
        <v>1.542837652</v>
      </c>
      <c r="C35" s="33">
        <f t="shared" si="1"/>
        <v>1.563092213</v>
      </c>
      <c r="D35" s="34">
        <f t="shared" si="2"/>
        <v>3.719999999</v>
      </c>
      <c r="E35" s="34">
        <f t="shared" si="3"/>
        <v>-0.1399999992</v>
      </c>
      <c r="F35" s="34">
        <f t="shared" si="4"/>
        <v>-0.03910614502</v>
      </c>
      <c r="G35" s="34">
        <f t="shared" si="5"/>
        <v>0.03910614502</v>
      </c>
      <c r="H35" s="34">
        <f t="shared" si="6"/>
        <v>0.01959999976</v>
      </c>
    </row>
    <row r="36">
      <c r="A36" s="31">
        <v>3.3</v>
      </c>
      <c r="B36" s="32">
        <v>1.500702961</v>
      </c>
      <c r="C36" s="33">
        <f t="shared" si="1"/>
        <v>1.542837652</v>
      </c>
      <c r="D36" s="34">
        <f t="shared" si="2"/>
        <v>3.579999999</v>
      </c>
      <c r="E36" s="34">
        <f t="shared" si="3"/>
        <v>-0.2799999989</v>
      </c>
      <c r="F36" s="34">
        <f t="shared" si="4"/>
        <v>-0.0848484845</v>
      </c>
      <c r="G36" s="34">
        <f t="shared" si="5"/>
        <v>0.0848484845</v>
      </c>
      <c r="H36" s="34">
        <f t="shared" si="6"/>
        <v>0.07839999936</v>
      </c>
    </row>
    <row r="37">
      <c r="A37" s="31">
        <v>3.61</v>
      </c>
      <c r="B37" s="32">
        <v>1.547221347</v>
      </c>
      <c r="C37" s="33">
        <f t="shared" si="1"/>
        <v>1.500702961</v>
      </c>
      <c r="D37" s="34">
        <f t="shared" si="2"/>
        <v>3.299999997</v>
      </c>
      <c r="E37" s="34">
        <f t="shared" si="3"/>
        <v>0.3100000028</v>
      </c>
      <c r="F37" s="34">
        <f t="shared" si="4"/>
        <v>0.08587257694</v>
      </c>
      <c r="G37" s="34">
        <f t="shared" si="5"/>
        <v>0.08587257694</v>
      </c>
      <c r="H37" s="34">
        <f t="shared" si="6"/>
        <v>0.09610000171</v>
      </c>
    </row>
    <row r="38">
      <c r="A38" s="31">
        <v>3.25</v>
      </c>
      <c r="B38" s="32">
        <v>1.492933086</v>
      </c>
      <c r="C38" s="33">
        <f t="shared" si="1"/>
        <v>1.547221347</v>
      </c>
      <c r="D38" s="34">
        <f t="shared" si="2"/>
        <v>3.610000002</v>
      </c>
      <c r="E38" s="34">
        <f t="shared" si="3"/>
        <v>-0.3600000022</v>
      </c>
      <c r="F38" s="34">
        <f t="shared" si="4"/>
        <v>-0.1107692314</v>
      </c>
      <c r="G38" s="34">
        <f t="shared" si="5"/>
        <v>0.1107692314</v>
      </c>
      <c r="H38" s="34">
        <f t="shared" si="6"/>
        <v>0.1296000016</v>
      </c>
    </row>
    <row r="39">
      <c r="A39" s="31">
        <v>3.18</v>
      </c>
      <c r="B39" s="32">
        <v>1.481921575</v>
      </c>
      <c r="C39" s="33">
        <f t="shared" si="1"/>
        <v>1.492933086</v>
      </c>
      <c r="D39" s="34">
        <f t="shared" si="2"/>
        <v>3.250000003</v>
      </c>
      <c r="E39" s="34">
        <f t="shared" si="3"/>
        <v>-0.07000000297</v>
      </c>
      <c r="F39" s="34">
        <f t="shared" si="4"/>
        <v>-0.02201257955</v>
      </c>
      <c r="G39" s="34">
        <f t="shared" si="5"/>
        <v>0.02201257955</v>
      </c>
      <c r="H39" s="34">
        <f t="shared" si="6"/>
        <v>0.004900000415</v>
      </c>
    </row>
    <row r="40">
      <c r="A40" s="31">
        <v>3.4</v>
      </c>
      <c r="B40" s="32">
        <v>1.516012673</v>
      </c>
      <c r="C40" s="33">
        <f t="shared" si="1"/>
        <v>1.481921575</v>
      </c>
      <c r="D40" s="34">
        <f t="shared" si="2"/>
        <v>3.180000002</v>
      </c>
      <c r="E40" s="34">
        <f t="shared" si="3"/>
        <v>0.219999998</v>
      </c>
      <c r="F40" s="34">
        <f t="shared" si="4"/>
        <v>0.06470588177</v>
      </c>
      <c r="G40" s="34">
        <f t="shared" si="5"/>
        <v>0.06470588177</v>
      </c>
      <c r="H40" s="34">
        <f t="shared" si="6"/>
        <v>0.04839999913</v>
      </c>
    </row>
    <row r="41">
      <c r="A41" s="31">
        <v>3.41</v>
      </c>
      <c r="B41" s="32">
        <v>1.517527217</v>
      </c>
      <c r="C41" s="33">
        <f t="shared" si="1"/>
        <v>1.516012673</v>
      </c>
      <c r="D41" s="34">
        <f t="shared" si="2"/>
        <v>3.399999999</v>
      </c>
      <c r="E41" s="34">
        <f t="shared" si="3"/>
        <v>0.01000000068</v>
      </c>
      <c r="F41" s="34">
        <f t="shared" si="4"/>
        <v>0.002932551518</v>
      </c>
      <c r="G41" s="34">
        <f t="shared" si="5"/>
        <v>0.002932551518</v>
      </c>
      <c r="H41" s="34">
        <f t="shared" si="6"/>
        <v>0.0001000000135</v>
      </c>
    </row>
    <row r="42">
      <c r="A42" s="31">
        <v>3.23</v>
      </c>
      <c r="B42" s="32">
        <v>1.489803045</v>
      </c>
      <c r="C42" s="33">
        <f t="shared" si="1"/>
        <v>1.517527217</v>
      </c>
      <c r="D42" s="34">
        <f t="shared" si="2"/>
        <v>3.410000002</v>
      </c>
      <c r="E42" s="34">
        <f t="shared" si="3"/>
        <v>-0.1800000017</v>
      </c>
      <c r="F42" s="34">
        <f t="shared" si="4"/>
        <v>-0.05572755471</v>
      </c>
      <c r="G42" s="34">
        <f t="shared" si="5"/>
        <v>0.05572755471</v>
      </c>
      <c r="H42" s="34">
        <f t="shared" si="6"/>
        <v>0.03240000062</v>
      </c>
    </row>
    <row r="43">
      <c r="A43" s="31">
        <v>3.12</v>
      </c>
      <c r="B43" s="32">
        <v>1.47235509</v>
      </c>
      <c r="C43" s="33">
        <f t="shared" si="1"/>
        <v>1.489803045</v>
      </c>
      <c r="D43" s="34">
        <f t="shared" si="2"/>
        <v>3.23</v>
      </c>
      <c r="E43" s="34">
        <f t="shared" si="3"/>
        <v>-0.11</v>
      </c>
      <c r="F43" s="34">
        <f t="shared" si="4"/>
        <v>-0.03525641025</v>
      </c>
      <c r="G43" s="34">
        <f t="shared" si="5"/>
        <v>0.03525641025</v>
      </c>
      <c r="H43" s="34">
        <f t="shared" si="6"/>
        <v>0.01209999999</v>
      </c>
    </row>
    <row r="44">
      <c r="A44" s="31">
        <v>3.18</v>
      </c>
      <c r="B44" s="32">
        <v>1.481921575</v>
      </c>
      <c r="C44" s="33">
        <f t="shared" si="1"/>
        <v>1.47235509</v>
      </c>
      <c r="D44" s="34">
        <f t="shared" si="2"/>
        <v>3.120000002</v>
      </c>
      <c r="E44" s="34">
        <f t="shared" si="3"/>
        <v>0.05999999802</v>
      </c>
      <c r="F44" s="34">
        <f t="shared" si="4"/>
        <v>0.01886792391</v>
      </c>
      <c r="G44" s="34">
        <f t="shared" si="5"/>
        <v>0.01886792391</v>
      </c>
      <c r="H44" s="34">
        <f t="shared" si="6"/>
        <v>0.003599999762</v>
      </c>
    </row>
    <row r="45">
      <c r="A45" s="31">
        <v>3.2</v>
      </c>
      <c r="B45" s="32">
        <v>1.485083909</v>
      </c>
      <c r="C45" s="33">
        <f t="shared" si="1"/>
        <v>1.481921575</v>
      </c>
      <c r="D45" s="34">
        <f t="shared" si="2"/>
        <v>3.180000002</v>
      </c>
      <c r="E45" s="34">
        <f t="shared" si="3"/>
        <v>0.01999999803</v>
      </c>
      <c r="F45" s="34">
        <f t="shared" si="4"/>
        <v>0.006249999384</v>
      </c>
      <c r="G45" s="34">
        <f t="shared" si="5"/>
        <v>0.006249999384</v>
      </c>
      <c r="H45" s="34">
        <f t="shared" si="6"/>
        <v>0.0003999999211</v>
      </c>
    </row>
    <row r="46">
      <c r="A46" s="31">
        <v>2.88</v>
      </c>
      <c r="B46" s="32">
        <v>1.432825974</v>
      </c>
      <c r="C46" s="33">
        <f t="shared" si="1"/>
        <v>1.485083909</v>
      </c>
      <c r="D46" s="34">
        <f t="shared" si="2"/>
        <v>3.199999997</v>
      </c>
      <c r="E46" s="34">
        <f t="shared" si="3"/>
        <v>-0.3199999972</v>
      </c>
      <c r="F46" s="34">
        <f t="shared" si="4"/>
        <v>-0.1111111101</v>
      </c>
      <c r="G46" s="34">
        <f t="shared" si="5"/>
        <v>0.1111111101</v>
      </c>
      <c r="H46" s="34">
        <f t="shared" si="6"/>
        <v>0.1023999982</v>
      </c>
    </row>
    <row r="47">
      <c r="A47" s="31">
        <v>3.16</v>
      </c>
      <c r="B47" s="32">
        <v>1.478746086</v>
      </c>
      <c r="C47" s="33">
        <f t="shared" si="1"/>
        <v>1.432825974</v>
      </c>
      <c r="D47" s="34">
        <f t="shared" si="2"/>
        <v>2.879999998</v>
      </c>
      <c r="E47" s="34">
        <f t="shared" si="3"/>
        <v>0.2800000023</v>
      </c>
      <c r="F47" s="34">
        <f t="shared" si="4"/>
        <v>0.08860759566</v>
      </c>
      <c r="G47" s="34">
        <f t="shared" si="5"/>
        <v>0.08860759566</v>
      </c>
      <c r="H47" s="34">
        <f t="shared" si="6"/>
        <v>0.07840000128</v>
      </c>
    </row>
    <row r="48">
      <c r="A48" s="31">
        <v>3.23</v>
      </c>
      <c r="B48" s="32">
        <v>1.489803045</v>
      </c>
      <c r="C48" s="33">
        <f t="shared" si="1"/>
        <v>1.478746086</v>
      </c>
      <c r="D48" s="34">
        <f t="shared" si="2"/>
        <v>3.160000001</v>
      </c>
      <c r="E48" s="34">
        <f t="shared" si="3"/>
        <v>0.06999999913</v>
      </c>
      <c r="F48" s="34">
        <f t="shared" si="4"/>
        <v>0.02167182636</v>
      </c>
      <c r="G48" s="34">
        <f t="shared" si="5"/>
        <v>0.02167182636</v>
      </c>
      <c r="H48" s="34">
        <f t="shared" si="6"/>
        <v>0.004899999879</v>
      </c>
    </row>
    <row r="49">
      <c r="A49" s="31">
        <v>3.13</v>
      </c>
      <c r="B49" s="32">
        <v>1.473957885</v>
      </c>
      <c r="C49" s="33">
        <f t="shared" si="1"/>
        <v>1.489803045</v>
      </c>
      <c r="D49" s="34">
        <f t="shared" si="2"/>
        <v>3.23</v>
      </c>
      <c r="E49" s="34">
        <f t="shared" si="3"/>
        <v>-0.09999999997</v>
      </c>
      <c r="F49" s="34">
        <f t="shared" si="4"/>
        <v>-0.03194888178</v>
      </c>
      <c r="G49" s="34">
        <f t="shared" si="5"/>
        <v>0.03194888178</v>
      </c>
      <c r="H49" s="34">
        <f t="shared" si="6"/>
        <v>0.009999999994</v>
      </c>
    </row>
    <row r="50">
      <c r="A50" s="31">
        <v>2.82</v>
      </c>
      <c r="B50" s="32">
        <v>1.422606199</v>
      </c>
      <c r="C50" s="33">
        <f t="shared" si="1"/>
        <v>1.473957885</v>
      </c>
      <c r="D50" s="34">
        <f t="shared" si="2"/>
        <v>3.129999999</v>
      </c>
      <c r="E50" s="34">
        <f t="shared" si="3"/>
        <v>-0.3099999991</v>
      </c>
      <c r="F50" s="34">
        <f t="shared" si="4"/>
        <v>-0.1099290777</v>
      </c>
      <c r="G50" s="34">
        <f t="shared" si="5"/>
        <v>0.1099290777</v>
      </c>
      <c r="H50" s="34">
        <f t="shared" si="6"/>
        <v>0.09609999942</v>
      </c>
    </row>
    <row r="51">
      <c r="A51" s="31">
        <v>2.57</v>
      </c>
      <c r="B51" s="32">
        <v>1.37840634</v>
      </c>
      <c r="C51" s="33">
        <f t="shared" si="1"/>
        <v>1.422606199</v>
      </c>
      <c r="D51" s="34">
        <f t="shared" si="2"/>
        <v>2.819999999</v>
      </c>
      <c r="E51" s="34">
        <f t="shared" si="3"/>
        <v>-0.2499999995</v>
      </c>
      <c r="F51" s="34">
        <f t="shared" si="4"/>
        <v>-0.0972762644</v>
      </c>
      <c r="G51" s="34">
        <f t="shared" si="5"/>
        <v>0.0972762644</v>
      </c>
      <c r="H51" s="34">
        <f t="shared" si="6"/>
        <v>0.06249999975</v>
      </c>
    </row>
    <row r="52">
      <c r="A52" s="31">
        <v>2.48</v>
      </c>
      <c r="B52" s="32">
        <v>1.361800758</v>
      </c>
      <c r="C52" s="33">
        <f t="shared" si="1"/>
        <v>1.37840634</v>
      </c>
      <c r="D52" s="34">
        <f t="shared" si="2"/>
        <v>2.570000001</v>
      </c>
      <c r="E52" s="34">
        <f t="shared" si="3"/>
        <v>-0.09000000097</v>
      </c>
      <c r="F52" s="34">
        <f t="shared" si="4"/>
        <v>-0.03629032297</v>
      </c>
      <c r="G52" s="34">
        <f t="shared" si="5"/>
        <v>0.03629032297</v>
      </c>
      <c r="H52" s="34">
        <f t="shared" si="6"/>
        <v>0.008100000175</v>
      </c>
    </row>
    <row r="53">
      <c r="A53" s="31">
        <v>2.83</v>
      </c>
      <c r="B53" s="32">
        <v>1.424319395</v>
      </c>
      <c r="C53" s="33">
        <f t="shared" si="1"/>
        <v>1.361800758</v>
      </c>
      <c r="D53" s="34">
        <f t="shared" si="2"/>
        <v>2.480000002</v>
      </c>
      <c r="E53" s="34">
        <f t="shared" si="3"/>
        <v>0.3499999984</v>
      </c>
      <c r="F53" s="34">
        <f t="shared" si="4"/>
        <v>0.1236749111</v>
      </c>
      <c r="G53" s="34">
        <f t="shared" si="5"/>
        <v>0.1236749111</v>
      </c>
      <c r="H53" s="34">
        <f t="shared" si="6"/>
        <v>0.1224999989</v>
      </c>
    </row>
    <row r="54">
      <c r="A54" s="31">
        <v>3.32</v>
      </c>
      <c r="B54" s="32">
        <v>1.503789155</v>
      </c>
      <c r="C54" s="33">
        <f t="shared" si="1"/>
        <v>1.424319395</v>
      </c>
      <c r="D54" s="34">
        <f t="shared" si="2"/>
        <v>2.830000001</v>
      </c>
      <c r="E54" s="34">
        <f t="shared" si="3"/>
        <v>0.489999999</v>
      </c>
      <c r="F54" s="34">
        <f t="shared" si="4"/>
        <v>0.1475903611</v>
      </c>
      <c r="G54" s="34">
        <f t="shared" si="5"/>
        <v>0.1475903611</v>
      </c>
      <c r="H54" s="34">
        <f t="shared" si="6"/>
        <v>0.240099999</v>
      </c>
    </row>
    <row r="55">
      <c r="A55" s="31">
        <v>3.28</v>
      </c>
      <c r="B55" s="32">
        <v>1.497604398</v>
      </c>
      <c r="C55" s="33">
        <f t="shared" si="1"/>
        <v>1.503789155</v>
      </c>
      <c r="D55" s="34">
        <f t="shared" si="2"/>
        <v>3.32</v>
      </c>
      <c r="E55" s="34">
        <f t="shared" si="3"/>
        <v>-0.0400000001</v>
      </c>
      <c r="F55" s="34">
        <f t="shared" si="4"/>
        <v>-0.01219512198</v>
      </c>
      <c r="G55" s="34">
        <f t="shared" si="5"/>
        <v>0.01219512198</v>
      </c>
      <c r="H55" s="34">
        <f t="shared" si="6"/>
        <v>0.001600000008</v>
      </c>
    </row>
    <row r="56">
      <c r="A56" s="31">
        <v>3.32</v>
      </c>
      <c r="B56" s="32">
        <v>1.503789155</v>
      </c>
      <c r="C56" s="33">
        <f t="shared" si="1"/>
        <v>1.497604398</v>
      </c>
      <c r="D56" s="34">
        <f t="shared" si="2"/>
        <v>3.279999998</v>
      </c>
      <c r="E56" s="34">
        <f t="shared" si="3"/>
        <v>0.04000000173</v>
      </c>
      <c r="F56" s="34">
        <f t="shared" si="4"/>
        <v>0.01204819329</v>
      </c>
      <c r="G56" s="34">
        <f t="shared" si="5"/>
        <v>0.01204819329</v>
      </c>
      <c r="H56" s="34">
        <f t="shared" si="6"/>
        <v>0.001600000138</v>
      </c>
    </row>
    <row r="57">
      <c r="A57" s="31">
        <v>3.49</v>
      </c>
      <c r="B57" s="32">
        <v>1.529539317</v>
      </c>
      <c r="C57" s="33">
        <f t="shared" si="1"/>
        <v>1.503789155</v>
      </c>
      <c r="D57" s="34">
        <f t="shared" si="2"/>
        <v>3.32</v>
      </c>
      <c r="E57" s="34">
        <f t="shared" si="3"/>
        <v>0.1699999999</v>
      </c>
      <c r="F57" s="34">
        <f t="shared" si="4"/>
        <v>0.04871060169</v>
      </c>
      <c r="G57" s="34">
        <f t="shared" si="5"/>
        <v>0.04871060169</v>
      </c>
      <c r="H57" s="34">
        <f t="shared" si="6"/>
        <v>0.02889999997</v>
      </c>
    </row>
    <row r="58">
      <c r="A58" s="31">
        <v>3.39</v>
      </c>
      <c r="B58" s="32">
        <v>1.514495187</v>
      </c>
      <c r="C58" s="33">
        <f t="shared" si="1"/>
        <v>1.529539317</v>
      </c>
      <c r="D58" s="34">
        <f t="shared" si="2"/>
        <v>3.489999997</v>
      </c>
      <c r="E58" s="34">
        <f t="shared" si="3"/>
        <v>-0.09999999745</v>
      </c>
      <c r="F58" s="34">
        <f t="shared" si="4"/>
        <v>-0.02949852432</v>
      </c>
      <c r="G58" s="34">
        <f t="shared" si="5"/>
        <v>0.02949852432</v>
      </c>
      <c r="H58" s="34">
        <f t="shared" si="6"/>
        <v>0.00999999949</v>
      </c>
    </row>
    <row r="59">
      <c r="A59" s="31">
        <v>3.13</v>
      </c>
      <c r="B59" s="32">
        <v>1.473957885</v>
      </c>
      <c r="C59" s="33">
        <f t="shared" si="1"/>
        <v>1.514495187</v>
      </c>
      <c r="D59" s="34">
        <f t="shared" si="2"/>
        <v>3.390000003</v>
      </c>
      <c r="E59" s="34">
        <f t="shared" si="3"/>
        <v>-0.2600000026</v>
      </c>
      <c r="F59" s="34">
        <f t="shared" si="4"/>
        <v>-0.08306709348</v>
      </c>
      <c r="G59" s="34">
        <f t="shared" si="5"/>
        <v>0.08306709348</v>
      </c>
      <c r="H59" s="34">
        <f t="shared" si="6"/>
        <v>0.06760000135</v>
      </c>
    </row>
    <row r="60">
      <c r="A60" s="31">
        <v>3.0</v>
      </c>
      <c r="B60" s="32">
        <v>1.452851502</v>
      </c>
      <c r="C60" s="33">
        <f t="shared" si="1"/>
        <v>1.473957885</v>
      </c>
      <c r="D60" s="34">
        <f t="shared" si="2"/>
        <v>3.129999999</v>
      </c>
      <c r="E60" s="34">
        <f t="shared" si="3"/>
        <v>-0.1299999991</v>
      </c>
      <c r="F60" s="34">
        <f t="shared" si="4"/>
        <v>-0.04333333302</v>
      </c>
      <c r="G60" s="34">
        <f t="shared" si="5"/>
        <v>0.04333333302</v>
      </c>
      <c r="H60" s="34">
        <f t="shared" si="6"/>
        <v>0.01689999976</v>
      </c>
    </row>
    <row r="61">
      <c r="A61" s="31">
        <v>2.72</v>
      </c>
      <c r="B61" s="32">
        <v>1.405249461</v>
      </c>
      <c r="C61" s="33">
        <f t="shared" si="1"/>
        <v>1.452851502</v>
      </c>
      <c r="D61" s="34">
        <f t="shared" si="2"/>
        <v>3.000000002</v>
      </c>
      <c r="E61" s="34">
        <f t="shared" si="3"/>
        <v>-0.2800000022</v>
      </c>
      <c r="F61" s="34">
        <f t="shared" si="4"/>
        <v>-0.1029411773</v>
      </c>
      <c r="G61" s="34">
        <f t="shared" si="5"/>
        <v>0.1029411773</v>
      </c>
      <c r="H61" s="34">
        <f t="shared" si="6"/>
        <v>0.07840000126</v>
      </c>
    </row>
    <row r="62">
      <c r="A62" s="31">
        <v>2.68</v>
      </c>
      <c r="B62" s="32">
        <v>1.398188835</v>
      </c>
      <c r="C62" s="33">
        <f t="shared" si="1"/>
        <v>1.405249461</v>
      </c>
      <c r="D62" s="34">
        <f t="shared" si="2"/>
        <v>2.72</v>
      </c>
      <c r="E62" s="34">
        <f t="shared" si="3"/>
        <v>-0.04000000027</v>
      </c>
      <c r="F62" s="34">
        <f t="shared" si="4"/>
        <v>-0.01492537323</v>
      </c>
      <c r="G62" s="34">
        <f t="shared" si="5"/>
        <v>0.01492537323</v>
      </c>
      <c r="H62" s="34">
        <f t="shared" si="6"/>
        <v>0.001600000022</v>
      </c>
    </row>
    <row r="63">
      <c r="A63" s="31">
        <v>2.98</v>
      </c>
      <c r="B63" s="32">
        <v>1.4495511</v>
      </c>
      <c r="C63" s="33">
        <f t="shared" si="1"/>
        <v>1.398188835</v>
      </c>
      <c r="D63" s="34">
        <f t="shared" si="2"/>
        <v>2.679999997</v>
      </c>
      <c r="E63" s="34">
        <f t="shared" si="3"/>
        <v>0.3000000027</v>
      </c>
      <c r="F63" s="34">
        <f t="shared" si="4"/>
        <v>0.1006711418</v>
      </c>
      <c r="G63" s="34">
        <f t="shared" si="5"/>
        <v>0.1006711418</v>
      </c>
      <c r="H63" s="34">
        <f t="shared" si="6"/>
        <v>0.09000000161</v>
      </c>
    </row>
    <row r="64">
      <c r="A64" s="31">
        <v>2.96</v>
      </c>
      <c r="B64" s="32">
        <v>1.446236046</v>
      </c>
      <c r="C64" s="33">
        <f t="shared" si="1"/>
        <v>1.4495511</v>
      </c>
      <c r="D64" s="34">
        <f t="shared" si="2"/>
        <v>2.980000001</v>
      </c>
      <c r="E64" s="34">
        <f t="shared" si="3"/>
        <v>-0.02000000103</v>
      </c>
      <c r="F64" s="34">
        <f t="shared" si="4"/>
        <v>-0.006756757106</v>
      </c>
      <c r="G64" s="34">
        <f t="shared" si="5"/>
        <v>0.006756757106</v>
      </c>
      <c r="H64" s="34">
        <f t="shared" si="6"/>
        <v>0.0004000000414</v>
      </c>
    </row>
    <row r="65">
      <c r="A65" s="31">
        <v>2.67</v>
      </c>
      <c r="B65" s="32">
        <v>1.396412825</v>
      </c>
      <c r="C65" s="33">
        <f t="shared" si="1"/>
        <v>1.446236046</v>
      </c>
      <c r="D65" s="34">
        <f t="shared" si="2"/>
        <v>2.959999999</v>
      </c>
      <c r="E65" s="34">
        <f t="shared" si="3"/>
        <v>-0.2899999986</v>
      </c>
      <c r="F65" s="34">
        <f t="shared" si="4"/>
        <v>-0.1086142317</v>
      </c>
      <c r="G65" s="34">
        <f t="shared" si="5"/>
        <v>0.1086142317</v>
      </c>
      <c r="H65" s="34">
        <f t="shared" si="6"/>
        <v>0.08409999921</v>
      </c>
    </row>
    <row r="66">
      <c r="A66" s="31">
        <v>2.19</v>
      </c>
      <c r="B66" s="32">
        <v>1.305422215</v>
      </c>
      <c r="C66" s="33">
        <f t="shared" si="1"/>
        <v>1.396412825</v>
      </c>
      <c r="D66" s="34">
        <f t="shared" si="2"/>
        <v>2.669999999</v>
      </c>
      <c r="E66" s="34">
        <f t="shared" si="3"/>
        <v>-0.4799999994</v>
      </c>
      <c r="F66" s="34">
        <f t="shared" si="4"/>
        <v>-0.2191780819</v>
      </c>
      <c r="G66" s="34">
        <f t="shared" si="5"/>
        <v>0.2191780819</v>
      </c>
      <c r="H66" s="34">
        <f t="shared" si="6"/>
        <v>0.2303999994</v>
      </c>
    </row>
    <row r="67">
      <c r="A67" s="31">
        <v>1.96</v>
      </c>
      <c r="B67" s="32">
        <v>1.257092005</v>
      </c>
      <c r="C67" s="33">
        <f t="shared" si="1"/>
        <v>1.305422215</v>
      </c>
      <c r="D67" s="34">
        <f t="shared" si="2"/>
        <v>2.19</v>
      </c>
      <c r="E67" s="34">
        <f t="shared" si="3"/>
        <v>-0.2299999996</v>
      </c>
      <c r="F67" s="34">
        <f t="shared" si="4"/>
        <v>-0.1173469386</v>
      </c>
      <c r="G67" s="34">
        <f t="shared" si="5"/>
        <v>0.1173469386</v>
      </c>
      <c r="H67" s="34">
        <f t="shared" si="6"/>
        <v>0.05289999984</v>
      </c>
    </row>
    <row r="68">
      <c r="A68" s="31">
        <v>1.54</v>
      </c>
      <c r="B68" s="32">
        <v>1.158129289</v>
      </c>
      <c r="C68" s="33">
        <f t="shared" si="1"/>
        <v>1.257092005</v>
      </c>
      <c r="D68" s="34">
        <f t="shared" si="2"/>
        <v>1.960000001</v>
      </c>
      <c r="E68" s="34">
        <f t="shared" si="3"/>
        <v>-0.4200000008</v>
      </c>
      <c r="F68" s="34">
        <f t="shared" si="4"/>
        <v>-0.2727272733</v>
      </c>
      <c r="G68" s="34">
        <f t="shared" si="5"/>
        <v>0.2727272733</v>
      </c>
      <c r="H68" s="34">
        <f t="shared" si="6"/>
        <v>0.1764000007</v>
      </c>
    </row>
    <row r="69">
      <c r="A69" s="31">
        <v>1.32</v>
      </c>
      <c r="B69" s="32">
        <v>1.098993532</v>
      </c>
      <c r="C69" s="33">
        <f t="shared" si="1"/>
        <v>1.158129289</v>
      </c>
      <c r="D69" s="34">
        <f t="shared" si="2"/>
        <v>1.539999999</v>
      </c>
      <c r="E69" s="34">
        <f t="shared" si="3"/>
        <v>-0.2199999994</v>
      </c>
      <c r="F69" s="34">
        <f t="shared" si="4"/>
        <v>-0.1666666662</v>
      </c>
      <c r="G69" s="34">
        <f t="shared" si="5"/>
        <v>0.1666666662</v>
      </c>
      <c r="H69" s="34">
        <f t="shared" si="6"/>
        <v>0.04839999973</v>
      </c>
    </row>
    <row r="70">
      <c r="A70" s="31">
        <v>1.42</v>
      </c>
      <c r="B70" s="32">
        <v>1.126621506</v>
      </c>
      <c r="C70" s="33">
        <f t="shared" si="1"/>
        <v>1.098993532</v>
      </c>
      <c r="D70" s="34">
        <f t="shared" si="2"/>
        <v>1.319999998</v>
      </c>
      <c r="E70" s="34">
        <f t="shared" si="3"/>
        <v>0.1000000015</v>
      </c>
      <c r="F70" s="34">
        <f t="shared" si="4"/>
        <v>0.07042253628</v>
      </c>
      <c r="G70" s="34">
        <f t="shared" si="5"/>
        <v>0.07042253628</v>
      </c>
      <c r="H70" s="34">
        <f t="shared" si="6"/>
        <v>0.0100000003</v>
      </c>
    </row>
    <row r="71">
      <c r="A71" s="31">
        <v>1.44</v>
      </c>
      <c r="B71" s="32">
        <v>1.131991712</v>
      </c>
      <c r="C71" s="33">
        <f t="shared" si="1"/>
        <v>1.126621506</v>
      </c>
      <c r="D71" s="34">
        <f t="shared" si="2"/>
        <v>1.420000001</v>
      </c>
      <c r="E71" s="34">
        <f t="shared" si="3"/>
        <v>0.01999999899</v>
      </c>
      <c r="F71" s="34">
        <f t="shared" si="4"/>
        <v>0.01388888818</v>
      </c>
      <c r="G71" s="34">
        <f t="shared" si="5"/>
        <v>0.01388888818</v>
      </c>
      <c r="H71" s="34">
        <f t="shared" si="6"/>
        <v>0.0003999999594</v>
      </c>
    </row>
    <row r="72">
      <c r="A72" s="31">
        <v>1.59</v>
      </c>
      <c r="B72" s="32">
        <v>1.170779265</v>
      </c>
      <c r="C72" s="33">
        <f t="shared" si="1"/>
        <v>1.131991712</v>
      </c>
      <c r="D72" s="34">
        <f t="shared" si="2"/>
        <v>1.439999998</v>
      </c>
      <c r="E72" s="34">
        <f t="shared" si="3"/>
        <v>0.1500000018</v>
      </c>
      <c r="F72" s="34">
        <f t="shared" si="4"/>
        <v>0.09433962376</v>
      </c>
      <c r="G72" s="34">
        <f t="shared" si="5"/>
        <v>0.09433962376</v>
      </c>
      <c r="H72" s="34">
        <f t="shared" si="6"/>
        <v>0.02250000053</v>
      </c>
    </row>
    <row r="73">
      <c r="A73" s="31">
        <v>1.68</v>
      </c>
      <c r="B73" s="32">
        <v>1.192903069</v>
      </c>
      <c r="C73" s="33">
        <f t="shared" si="1"/>
        <v>1.170779265</v>
      </c>
      <c r="D73" s="34">
        <f t="shared" si="2"/>
        <v>1.59</v>
      </c>
      <c r="E73" s="34">
        <f t="shared" si="3"/>
        <v>0.08999999978</v>
      </c>
      <c r="F73" s="34">
        <f t="shared" si="4"/>
        <v>0.05357142844</v>
      </c>
      <c r="G73" s="34">
        <f t="shared" si="5"/>
        <v>0.05357142844</v>
      </c>
      <c r="H73" s="34">
        <f t="shared" si="6"/>
        <v>0.00809999996</v>
      </c>
    </row>
    <row r="74">
      <c r="A74" s="31">
        <v>1.55</v>
      </c>
      <c r="B74" s="32">
        <v>1.160680738</v>
      </c>
      <c r="C74" s="33">
        <f t="shared" si="1"/>
        <v>1.192903069</v>
      </c>
      <c r="D74" s="34">
        <f t="shared" si="2"/>
        <v>1.680000001</v>
      </c>
      <c r="E74" s="34">
        <f t="shared" si="3"/>
        <v>-0.1300000013</v>
      </c>
      <c r="F74" s="34">
        <f t="shared" si="4"/>
        <v>-0.08387096858</v>
      </c>
      <c r="G74" s="34">
        <f t="shared" si="5"/>
        <v>0.08387096858</v>
      </c>
      <c r="H74" s="34">
        <f t="shared" si="6"/>
        <v>0.01690000034</v>
      </c>
    </row>
    <row r="75">
      <c r="A75" s="31">
        <v>1.38</v>
      </c>
      <c r="B75" s="32">
        <v>1.115729432</v>
      </c>
      <c r="C75" s="33">
        <f t="shared" si="1"/>
        <v>1.160680738</v>
      </c>
      <c r="D75" s="34">
        <f t="shared" si="2"/>
        <v>1.549999998</v>
      </c>
      <c r="E75" s="34">
        <f t="shared" si="3"/>
        <v>-0.1699999981</v>
      </c>
      <c r="F75" s="34">
        <f t="shared" si="4"/>
        <v>-0.1231884044</v>
      </c>
      <c r="G75" s="34">
        <f t="shared" si="5"/>
        <v>0.1231884044</v>
      </c>
      <c r="H75" s="34">
        <f t="shared" si="6"/>
        <v>0.02889999935</v>
      </c>
    </row>
    <row r="76">
      <c r="A76" s="31">
        <v>1.37</v>
      </c>
      <c r="B76" s="32">
        <v>1.112973933</v>
      </c>
      <c r="C76" s="33">
        <f t="shared" si="1"/>
        <v>1.115729432</v>
      </c>
      <c r="D76" s="34">
        <f t="shared" si="2"/>
        <v>1.380000002</v>
      </c>
      <c r="E76" s="34">
        <f t="shared" si="3"/>
        <v>-0.01000000163</v>
      </c>
      <c r="F76" s="34">
        <f t="shared" si="4"/>
        <v>-0.007299271266</v>
      </c>
      <c r="G76" s="34">
        <f t="shared" si="5"/>
        <v>0.007299271266</v>
      </c>
      <c r="H76" s="34">
        <f t="shared" si="6"/>
        <v>0.0001000000327</v>
      </c>
    </row>
    <row r="77">
      <c r="A77" s="31">
        <v>1.42</v>
      </c>
      <c r="B77" s="32">
        <v>1.126621506</v>
      </c>
      <c r="C77" s="33">
        <f t="shared" si="1"/>
        <v>1.112973933</v>
      </c>
      <c r="D77" s="34">
        <f t="shared" si="2"/>
        <v>1.37</v>
      </c>
      <c r="E77" s="34">
        <f t="shared" si="3"/>
        <v>0.05000000005</v>
      </c>
      <c r="F77" s="34">
        <f t="shared" si="4"/>
        <v>0.03521126764</v>
      </c>
      <c r="G77" s="34">
        <f t="shared" si="5"/>
        <v>0.03521126764</v>
      </c>
      <c r="H77" s="34">
        <f t="shared" si="6"/>
        <v>0.002500000005</v>
      </c>
    </row>
    <row r="78">
      <c r="A78" s="31">
        <v>1.68</v>
      </c>
      <c r="B78" s="32">
        <v>1.192903069</v>
      </c>
      <c r="C78" s="33">
        <f t="shared" si="1"/>
        <v>1.126621506</v>
      </c>
      <c r="D78" s="34">
        <f t="shared" si="2"/>
        <v>1.420000001</v>
      </c>
      <c r="E78" s="34">
        <f t="shared" si="3"/>
        <v>0.259999999</v>
      </c>
      <c r="F78" s="34">
        <f t="shared" si="4"/>
        <v>0.1547619042</v>
      </c>
      <c r="G78" s="34">
        <f t="shared" si="5"/>
        <v>0.1547619042</v>
      </c>
      <c r="H78" s="34">
        <f t="shared" si="6"/>
        <v>0.06759999947</v>
      </c>
    </row>
    <row r="79">
      <c r="A79" s="31">
        <v>1.33</v>
      </c>
      <c r="B79" s="32">
        <v>1.101817226</v>
      </c>
      <c r="C79" s="33">
        <f t="shared" si="1"/>
        <v>1.192903069</v>
      </c>
      <c r="D79" s="34">
        <f t="shared" si="2"/>
        <v>1.680000001</v>
      </c>
      <c r="E79" s="34">
        <f t="shared" si="3"/>
        <v>-0.3500000013</v>
      </c>
      <c r="F79" s="34">
        <f t="shared" si="4"/>
        <v>-0.2631578957</v>
      </c>
      <c r="G79" s="34">
        <f t="shared" si="5"/>
        <v>0.2631578957</v>
      </c>
      <c r="H79" s="34">
        <f t="shared" si="6"/>
        <v>0.1225000009</v>
      </c>
    </row>
    <row r="80">
      <c r="A80" s="31">
        <v>1.52</v>
      </c>
      <c r="B80" s="32">
        <v>1.152993396</v>
      </c>
      <c r="C80" s="33">
        <f t="shared" si="1"/>
        <v>1.101817226</v>
      </c>
      <c r="D80" s="34">
        <f t="shared" si="2"/>
        <v>1.33</v>
      </c>
      <c r="E80" s="34">
        <f t="shared" si="3"/>
        <v>0.19</v>
      </c>
      <c r="F80" s="34">
        <f t="shared" si="4"/>
        <v>0.125</v>
      </c>
      <c r="G80" s="34">
        <f t="shared" si="5"/>
        <v>0.125</v>
      </c>
      <c r="H80" s="34">
        <f t="shared" si="6"/>
        <v>0.03610000001</v>
      </c>
    </row>
    <row r="81">
      <c r="A81" s="31">
        <v>1.59</v>
      </c>
      <c r="B81" s="32">
        <v>1.170779265</v>
      </c>
      <c r="C81" s="33">
        <f t="shared" si="1"/>
        <v>1.152993396</v>
      </c>
      <c r="D81" s="34">
        <f t="shared" si="2"/>
        <v>1.519999999</v>
      </c>
      <c r="E81" s="34">
        <f t="shared" si="3"/>
        <v>0.07000000111</v>
      </c>
      <c r="F81" s="34">
        <f t="shared" si="4"/>
        <v>0.04402515793</v>
      </c>
      <c r="G81" s="34">
        <f t="shared" si="5"/>
        <v>0.04402515793</v>
      </c>
      <c r="H81" s="34">
        <f t="shared" si="6"/>
        <v>0.004900000155</v>
      </c>
    </row>
    <row r="82">
      <c r="A82" s="29">
        <v>1.6</v>
      </c>
      <c r="B82" s="36">
        <v>1.17327764</v>
      </c>
      <c r="C82" s="37">
        <f t="shared" si="1"/>
        <v>1.170779265</v>
      </c>
      <c r="D82" s="38">
        <f t="shared" si="2"/>
        <v>1.59</v>
      </c>
      <c r="E82" s="39">
        <f t="shared" si="3"/>
        <v>0.00999999978</v>
      </c>
      <c r="F82" s="39">
        <f t="shared" si="4"/>
        <v>0.006249999862</v>
      </c>
      <c r="G82" s="39">
        <f t="shared" si="5"/>
        <v>0.006249999862</v>
      </c>
      <c r="H82" s="39">
        <f t="shared" si="6"/>
        <v>0.0000999999956</v>
      </c>
    </row>
    <row r="83">
      <c r="A83" s="29">
        <v>1.66</v>
      </c>
      <c r="B83" s="36">
        <v>1.188055557</v>
      </c>
      <c r="C83" s="37">
        <f t="shared" si="1"/>
        <v>1.17327764</v>
      </c>
      <c r="D83" s="38">
        <f t="shared" si="2"/>
        <v>1.6</v>
      </c>
      <c r="E83" s="39">
        <f t="shared" si="3"/>
        <v>0.06000000018</v>
      </c>
      <c r="F83" s="39">
        <f t="shared" ref="F83:F93" si="7">E83/A58</f>
        <v>0.0176991151</v>
      </c>
      <c r="G83" s="39">
        <f t="shared" ref="G83:G93" si="8">ABS(E83)/A58</f>
        <v>0.0176991151</v>
      </c>
      <c r="H83" s="39">
        <f t="shared" si="6"/>
        <v>0.003600000021</v>
      </c>
    </row>
    <row r="84">
      <c r="A84" s="29">
        <v>1.75</v>
      </c>
      <c r="B84" s="36">
        <v>1.209575375</v>
      </c>
      <c r="C84" s="37">
        <f t="shared" si="1"/>
        <v>1.188055557</v>
      </c>
      <c r="D84" s="38">
        <f t="shared" si="2"/>
        <v>1.660000001</v>
      </c>
      <c r="E84" s="39">
        <f t="shared" si="3"/>
        <v>0.08999999906</v>
      </c>
      <c r="F84" s="39">
        <f t="shared" si="7"/>
        <v>0.02875399331</v>
      </c>
      <c r="G84" s="39">
        <f t="shared" si="8"/>
        <v>0.02875399331</v>
      </c>
      <c r="H84" s="39">
        <f t="shared" si="6"/>
        <v>0.00809999983</v>
      </c>
    </row>
    <row r="85">
      <c r="A85" s="29">
        <v>1.87</v>
      </c>
      <c r="B85" s="36">
        <v>1.237160787</v>
      </c>
      <c r="C85" s="37">
        <f t="shared" si="1"/>
        <v>1.209575375</v>
      </c>
      <c r="D85" s="38">
        <f t="shared" si="2"/>
        <v>1.750000002</v>
      </c>
      <c r="E85" s="39">
        <f t="shared" si="3"/>
        <v>0.1199999981</v>
      </c>
      <c r="F85" s="39">
        <f t="shared" si="7"/>
        <v>0.03999999937</v>
      </c>
      <c r="G85" s="39">
        <f t="shared" si="8"/>
        <v>0.03999999937</v>
      </c>
      <c r="H85" s="39">
        <f t="shared" si="6"/>
        <v>0.01439999955</v>
      </c>
    </row>
    <row r="86">
      <c r="A86" s="29">
        <v>2.18</v>
      </c>
      <c r="B86" s="36">
        <v>1.303392471</v>
      </c>
      <c r="C86" s="37">
        <f t="shared" si="1"/>
        <v>1.237160787</v>
      </c>
      <c r="D86" s="38">
        <f t="shared" si="2"/>
        <v>1.869999999</v>
      </c>
      <c r="E86" s="39">
        <f t="shared" si="3"/>
        <v>0.3100000007</v>
      </c>
      <c r="F86" s="39">
        <f t="shared" si="7"/>
        <v>0.1139705885</v>
      </c>
      <c r="G86" s="39">
        <f t="shared" si="8"/>
        <v>0.1139705885</v>
      </c>
      <c r="H86" s="39">
        <f t="shared" si="6"/>
        <v>0.09610000042</v>
      </c>
    </row>
    <row r="87">
      <c r="A87" s="29">
        <v>2.06</v>
      </c>
      <c r="B87" s="36">
        <v>1.278541575</v>
      </c>
      <c r="C87" s="37">
        <f t="shared" si="1"/>
        <v>1.303392471</v>
      </c>
      <c r="D87" s="38">
        <f t="shared" si="2"/>
        <v>2.180000002</v>
      </c>
      <c r="E87" s="39">
        <f t="shared" si="3"/>
        <v>-0.1200000023</v>
      </c>
      <c r="F87" s="39">
        <f t="shared" si="7"/>
        <v>-0.04477612026</v>
      </c>
      <c r="G87" s="39">
        <f t="shared" si="8"/>
        <v>0.04477612026</v>
      </c>
      <c r="H87" s="39">
        <f t="shared" si="6"/>
        <v>0.01440000055</v>
      </c>
    </row>
    <row r="88">
      <c r="A88" s="29">
        <v>2.64</v>
      </c>
      <c r="B88" s="36">
        <v>1.39105831</v>
      </c>
      <c r="C88" s="37">
        <f t="shared" si="1"/>
        <v>1.278541575</v>
      </c>
      <c r="D88" s="38">
        <f t="shared" si="2"/>
        <v>2.059999998</v>
      </c>
      <c r="E88" s="39">
        <f t="shared" si="3"/>
        <v>0.5800000022</v>
      </c>
      <c r="F88" s="39">
        <f t="shared" si="7"/>
        <v>0.1946308732</v>
      </c>
      <c r="G88" s="39">
        <f t="shared" si="8"/>
        <v>0.1946308732</v>
      </c>
      <c r="H88" s="39">
        <f t="shared" si="6"/>
        <v>0.3364000025</v>
      </c>
    </row>
    <row r="89">
      <c r="A89" s="29">
        <v>3.47</v>
      </c>
      <c r="B89" s="36">
        <v>1.526553472</v>
      </c>
      <c r="C89" s="37">
        <f t="shared" si="1"/>
        <v>1.39105831</v>
      </c>
      <c r="D89" s="38">
        <f t="shared" si="2"/>
        <v>2.639999998</v>
      </c>
      <c r="E89" s="39">
        <f t="shared" si="3"/>
        <v>0.8300000022</v>
      </c>
      <c r="F89" s="39">
        <f t="shared" si="7"/>
        <v>0.2804054062</v>
      </c>
      <c r="G89" s="39">
        <f t="shared" si="8"/>
        <v>0.2804054062</v>
      </c>
      <c r="H89" s="39">
        <f t="shared" si="6"/>
        <v>0.6889000037</v>
      </c>
    </row>
    <row r="90">
      <c r="A90" s="29">
        <v>3.55</v>
      </c>
      <c r="B90" s="36">
        <v>1.538429645</v>
      </c>
      <c r="C90" s="37">
        <f t="shared" si="1"/>
        <v>1.526553472</v>
      </c>
      <c r="D90" s="38">
        <f t="shared" si="2"/>
        <v>3.469999998</v>
      </c>
      <c r="E90" s="39">
        <f t="shared" si="3"/>
        <v>0.08000000219</v>
      </c>
      <c r="F90" s="39">
        <f t="shared" si="7"/>
        <v>0.02996254764</v>
      </c>
      <c r="G90" s="39">
        <f t="shared" si="8"/>
        <v>0.02996254764</v>
      </c>
      <c r="H90" s="39">
        <f t="shared" si="6"/>
        <v>0.006400000351</v>
      </c>
    </row>
    <row r="91">
      <c r="A91" s="29">
        <v>4.35</v>
      </c>
      <c r="B91" s="36">
        <v>1.648490115</v>
      </c>
      <c r="C91" s="37">
        <f t="shared" si="1"/>
        <v>1.538429645</v>
      </c>
      <c r="D91" s="38">
        <f t="shared" si="2"/>
        <v>3.549999999</v>
      </c>
      <c r="E91" s="39">
        <f t="shared" si="3"/>
        <v>0.8000000006</v>
      </c>
      <c r="F91" s="39">
        <f t="shared" si="7"/>
        <v>0.3652968039</v>
      </c>
      <c r="G91" s="39">
        <f t="shared" si="8"/>
        <v>0.3652968039</v>
      </c>
      <c r="H91" s="39">
        <f t="shared" si="6"/>
        <v>0.640000001</v>
      </c>
    </row>
    <row r="92">
      <c r="A92" s="29">
        <v>4.94</v>
      </c>
      <c r="B92" s="36">
        <v>1.721341989</v>
      </c>
      <c r="C92" s="37">
        <f t="shared" si="1"/>
        <v>1.648490115</v>
      </c>
      <c r="D92" s="38">
        <f t="shared" si="2"/>
        <v>4.349999998</v>
      </c>
      <c r="E92" s="39">
        <f t="shared" si="3"/>
        <v>0.5900000023</v>
      </c>
      <c r="F92" s="39">
        <f t="shared" si="7"/>
        <v>0.3010204094</v>
      </c>
      <c r="G92" s="39">
        <f t="shared" si="8"/>
        <v>0.3010204094</v>
      </c>
      <c r="H92" s="39">
        <f t="shared" si="6"/>
        <v>0.3481000028</v>
      </c>
    </row>
    <row r="93">
      <c r="A93" s="29">
        <v>4.69</v>
      </c>
      <c r="B93" s="36">
        <v>1.691214784</v>
      </c>
      <c r="C93" s="37">
        <f t="shared" si="1"/>
        <v>1.721341989</v>
      </c>
      <c r="D93" s="38">
        <f t="shared" si="2"/>
        <v>4.940000002</v>
      </c>
      <c r="E93" s="39">
        <f t="shared" si="3"/>
        <v>-0.2500000024</v>
      </c>
      <c r="F93" s="39">
        <f t="shared" si="7"/>
        <v>-0.1623376639</v>
      </c>
      <c r="G93" s="39">
        <f t="shared" si="8"/>
        <v>0.1623376639</v>
      </c>
      <c r="H93" s="39">
        <f t="shared" si="6"/>
        <v>0.06250000118</v>
      </c>
    </row>
    <row r="94">
      <c r="B94" s="40" t="s">
        <v>39</v>
      </c>
      <c r="C94" s="41"/>
      <c r="E94" s="40" t="s">
        <v>10</v>
      </c>
      <c r="F94" s="41"/>
      <c r="G94" s="41"/>
      <c r="H94" s="41"/>
    </row>
    <row r="95">
      <c r="B95" s="42" t="s">
        <v>40</v>
      </c>
      <c r="C95" s="43">
        <f>AVERAGE(G3:G81)*100</f>
        <v>8.528854629</v>
      </c>
      <c r="E95" s="42" t="s">
        <v>40</v>
      </c>
      <c r="F95" s="43">
        <f>AVERAGE(G82:G93)*100</f>
        <v>13.209196</v>
      </c>
      <c r="G95" s="41"/>
      <c r="H95" s="41"/>
    </row>
    <row r="96">
      <c r="B96" s="42" t="s">
        <v>41</v>
      </c>
      <c r="C96" s="43">
        <f>SUM(H3:H81)/12</f>
        <v>0.9218916655</v>
      </c>
      <c r="E96" s="42" t="s">
        <v>41</v>
      </c>
      <c r="F96" s="43">
        <f>SUM(H82:H93)/12</f>
        <v>0.1849166677</v>
      </c>
      <c r="G96" s="41"/>
      <c r="H96" s="41"/>
    </row>
    <row r="97">
      <c r="B97" s="42" t="s">
        <v>42</v>
      </c>
      <c r="C97" s="43">
        <f>SQRT(C96)</f>
        <v>0.9601518971</v>
      </c>
      <c r="E97" s="42" t="s">
        <v>42</v>
      </c>
      <c r="F97" s="43">
        <f>SQRT(F96)</f>
        <v>0.4300193806</v>
      </c>
      <c r="G97" s="41"/>
      <c r="H97" s="41"/>
    </row>
    <row r="98">
      <c r="B98" s="42" t="s">
        <v>43</v>
      </c>
      <c r="C98" s="44">
        <f>SUM(E3:E81)/12</f>
        <v>-0.4474999994</v>
      </c>
      <c r="E98" s="42" t="s">
        <v>43</v>
      </c>
      <c r="F98" s="44">
        <f>SUM(E82:E93)/12</f>
        <v>0.2583333336</v>
      </c>
      <c r="G98" s="41"/>
      <c r="H98" s="41"/>
    </row>
    <row r="99">
      <c r="B99" s="42" t="s">
        <v>44</v>
      </c>
      <c r="C99" s="44">
        <f>(SUM(F3:F81)/12)*100</f>
        <v>-16.29027017</v>
      </c>
      <c r="E99" s="42" t="s">
        <v>44</v>
      </c>
      <c r="F99" s="44">
        <f>(SUM(F82:F93)/12)*100</f>
        <v>9.757299602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4" max="4" width="15.43"/>
    <col customWidth="1" min="5" max="5" width="19.71"/>
    <col customWidth="1" min="8" max="8" width="17.14"/>
  </cols>
  <sheetData>
    <row r="1">
      <c r="A1" s="28" t="s">
        <v>31</v>
      </c>
      <c r="B1" s="28" t="s">
        <v>6</v>
      </c>
      <c r="C1" s="29" t="s">
        <v>45</v>
      </c>
      <c r="D1" s="29" t="s">
        <v>46</v>
      </c>
      <c r="E1" s="29" t="s">
        <v>47</v>
      </c>
      <c r="F1" s="29" t="s">
        <v>34</v>
      </c>
      <c r="G1" s="29" t="s">
        <v>35</v>
      </c>
      <c r="H1" s="29" t="s">
        <v>36</v>
      </c>
      <c r="I1" s="30" t="s">
        <v>37</v>
      </c>
      <c r="K1" s="45" t="s">
        <v>48</v>
      </c>
      <c r="L1" s="45">
        <v>0.9728</v>
      </c>
    </row>
    <row r="2">
      <c r="A2" s="31">
        <v>6.96</v>
      </c>
      <c r="B2" s="32">
        <v>1.934136592</v>
      </c>
      <c r="C2" s="46" t="s">
        <v>13</v>
      </c>
      <c r="D2" s="46" t="s">
        <v>13</v>
      </c>
      <c r="E2" s="46" t="s">
        <v>13</v>
      </c>
      <c r="F2" s="46" t="s">
        <v>13</v>
      </c>
      <c r="G2" s="46" t="s">
        <v>13</v>
      </c>
      <c r="H2" s="46" t="s">
        <v>13</v>
      </c>
      <c r="I2" s="46" t="s">
        <v>13</v>
      </c>
    </row>
    <row r="3">
      <c r="A3" s="31">
        <v>6.29</v>
      </c>
      <c r="B3" s="32">
        <v>1.86870703</v>
      </c>
      <c r="C3" s="46" t="s">
        <v>13</v>
      </c>
      <c r="D3" s="46" t="s">
        <v>13</v>
      </c>
      <c r="E3" s="46" t="s">
        <v>13</v>
      </c>
      <c r="F3" s="46" t="s">
        <v>13</v>
      </c>
      <c r="G3" s="46" t="s">
        <v>13</v>
      </c>
      <c r="H3" s="46" t="s">
        <v>13</v>
      </c>
      <c r="I3" s="46" t="s">
        <v>13</v>
      </c>
    </row>
    <row r="4">
      <c r="A4" s="31">
        <v>6.38</v>
      </c>
      <c r="B4" s="32">
        <v>1.877755448</v>
      </c>
      <c r="C4" s="46">
        <v>0.01525474</v>
      </c>
      <c r="D4" s="32">
        <v>1.862500709</v>
      </c>
      <c r="E4" s="34">
        <f t="shared" ref="E4:E94" si="1">D4^(1/0.34)</f>
        <v>6.228755934</v>
      </c>
      <c r="F4" s="47">
        <f t="shared" ref="F4:F93" si="2">A4-E4</f>
        <v>0.1512440656</v>
      </c>
      <c r="G4" s="47">
        <f t="shared" ref="G4:G93" si="3">F4/A4</f>
        <v>0.02370596639</v>
      </c>
      <c r="H4" s="47">
        <f t="shared" ref="H4:H93" si="4">ABS(F4)/A4</f>
        <v>0.02370596639</v>
      </c>
      <c r="I4" s="47">
        <f t="shared" ref="I4:I93" si="5">F4^2</f>
        <v>0.02287476737</v>
      </c>
      <c r="K4" s="35" t="s">
        <v>49</v>
      </c>
    </row>
    <row r="5">
      <c r="A5" s="31">
        <v>6.79</v>
      </c>
      <c r="B5" s="32">
        <v>1.91794312</v>
      </c>
      <c r="C5" s="46">
        <v>0.045978499</v>
      </c>
      <c r="D5" s="32">
        <v>1.871964621</v>
      </c>
      <c r="E5" s="34">
        <f t="shared" si="1"/>
        <v>6.322304396</v>
      </c>
      <c r="F5" s="47">
        <f t="shared" si="2"/>
        <v>0.4676956042</v>
      </c>
      <c r="G5" s="47">
        <f t="shared" si="3"/>
        <v>0.06888005953</v>
      </c>
      <c r="H5" s="47">
        <f t="shared" si="4"/>
        <v>0.06888005953</v>
      </c>
      <c r="I5" s="47">
        <f t="shared" si="5"/>
        <v>0.2187391782</v>
      </c>
    </row>
    <row r="6">
      <c r="A6" s="31">
        <v>7.15</v>
      </c>
      <c r="B6" s="32">
        <v>1.95192917</v>
      </c>
      <c r="C6" s="46">
        <v>0.038524559</v>
      </c>
      <c r="D6" s="32">
        <v>1.913404611</v>
      </c>
      <c r="E6" s="34">
        <f t="shared" si="1"/>
        <v>6.742851219</v>
      </c>
      <c r="F6" s="47">
        <f t="shared" si="2"/>
        <v>0.4071487809</v>
      </c>
      <c r="G6" s="47">
        <f t="shared" si="3"/>
        <v>0.05694388544</v>
      </c>
      <c r="H6" s="47">
        <f t="shared" si="4"/>
        <v>0.05694388544</v>
      </c>
      <c r="I6" s="47">
        <f t="shared" si="5"/>
        <v>0.1657701298</v>
      </c>
    </row>
    <row r="7">
      <c r="A7" s="31">
        <v>7.26</v>
      </c>
      <c r="B7" s="32">
        <v>1.962087862</v>
      </c>
      <c r="C7" s="46">
        <v>0.013647907</v>
      </c>
      <c r="D7" s="32">
        <v>1.948439955</v>
      </c>
      <c r="E7" s="34">
        <f t="shared" si="1"/>
        <v>7.11247359</v>
      </c>
      <c r="F7" s="47">
        <f t="shared" si="2"/>
        <v>0.1475264104</v>
      </c>
      <c r="G7" s="47">
        <f t="shared" si="3"/>
        <v>0.02032044221</v>
      </c>
      <c r="H7" s="47">
        <f t="shared" si="4"/>
        <v>0.02032044221</v>
      </c>
      <c r="I7" s="47">
        <f t="shared" si="5"/>
        <v>0.02176404177</v>
      </c>
    </row>
    <row r="8">
      <c r="A8" s="31">
        <v>7.26</v>
      </c>
      <c r="B8" s="32">
        <v>1.962087862</v>
      </c>
      <c r="C8" s="46">
        <v>0.003117486</v>
      </c>
      <c r="D8" s="32">
        <v>1.958970375</v>
      </c>
      <c r="E8" s="34">
        <f t="shared" si="1"/>
        <v>7.226125419</v>
      </c>
      <c r="F8" s="47">
        <f t="shared" si="2"/>
        <v>0.03387458084</v>
      </c>
      <c r="G8" s="47">
        <f t="shared" si="3"/>
        <v>0.004665920226</v>
      </c>
      <c r="H8" s="47">
        <f t="shared" si="4"/>
        <v>0.004665920226</v>
      </c>
      <c r="I8" s="47">
        <f t="shared" si="5"/>
        <v>0.001147487227</v>
      </c>
      <c r="K8" s="35" t="s">
        <v>50</v>
      </c>
    </row>
    <row r="9">
      <c r="A9" s="31">
        <v>7.18</v>
      </c>
      <c r="B9" s="32">
        <v>1.954709893</v>
      </c>
      <c r="C9" s="46">
        <v>-0.004345393</v>
      </c>
      <c r="D9" s="32">
        <v>1.959055287</v>
      </c>
      <c r="E9" s="34">
        <f t="shared" si="1"/>
        <v>7.227046687</v>
      </c>
      <c r="F9" s="47">
        <f t="shared" si="2"/>
        <v>-0.04704668729</v>
      </c>
      <c r="G9" s="47">
        <f t="shared" si="3"/>
        <v>-0.006552463411</v>
      </c>
      <c r="H9" s="47">
        <f t="shared" si="4"/>
        <v>0.006552463411</v>
      </c>
      <c r="I9" s="47">
        <f t="shared" si="5"/>
        <v>0.002213390785</v>
      </c>
      <c r="K9" s="35"/>
    </row>
    <row r="10">
      <c r="A10" s="31">
        <v>6.83</v>
      </c>
      <c r="B10" s="32">
        <v>1.921777212</v>
      </c>
      <c r="C10" s="46">
        <v>-0.029781751</v>
      </c>
      <c r="D10" s="32">
        <v>1.951558963</v>
      </c>
      <c r="E10" s="34">
        <f t="shared" si="1"/>
        <v>7.146012256</v>
      </c>
      <c r="F10" s="47">
        <f t="shared" si="2"/>
        <v>-0.3160122557</v>
      </c>
      <c r="G10" s="47">
        <f t="shared" si="3"/>
        <v>-0.04626826583</v>
      </c>
      <c r="H10" s="47">
        <f t="shared" si="4"/>
        <v>0.04626826583</v>
      </c>
      <c r="I10" s="47">
        <f t="shared" si="5"/>
        <v>0.09986374572</v>
      </c>
      <c r="K10" s="35"/>
    </row>
    <row r="11">
      <c r="A11" s="31">
        <v>6.25</v>
      </c>
      <c r="B11" s="32">
        <v>1.864658073</v>
      </c>
      <c r="C11" s="46">
        <v>-0.053157041</v>
      </c>
      <c r="D11" s="32">
        <v>1.917815114</v>
      </c>
      <c r="E11" s="34">
        <f t="shared" si="1"/>
        <v>6.788667223</v>
      </c>
      <c r="F11" s="47">
        <f t="shared" si="2"/>
        <v>-0.5386672234</v>
      </c>
      <c r="G11" s="47">
        <f t="shared" si="3"/>
        <v>-0.08618675575</v>
      </c>
      <c r="H11" s="47">
        <f t="shared" si="4"/>
        <v>0.08618675575</v>
      </c>
      <c r="I11" s="47">
        <f t="shared" si="5"/>
        <v>0.2901623776</v>
      </c>
    </row>
    <row r="12">
      <c r="A12" s="31">
        <v>4.89</v>
      </c>
      <c r="B12" s="32">
        <v>1.715398445</v>
      </c>
      <c r="C12" s="46">
        <v>-0.143849691</v>
      </c>
      <c r="D12" s="32">
        <v>1.859248136</v>
      </c>
      <c r="E12" s="34">
        <f t="shared" si="1"/>
        <v>6.196817277</v>
      </c>
      <c r="F12" s="47">
        <f t="shared" si="2"/>
        <v>-1.306817277</v>
      </c>
      <c r="G12" s="47">
        <f t="shared" si="3"/>
        <v>-0.2672427969</v>
      </c>
      <c r="H12" s="47">
        <f t="shared" si="4"/>
        <v>0.2672427969</v>
      </c>
      <c r="I12" s="47">
        <f t="shared" si="5"/>
        <v>1.707771395</v>
      </c>
    </row>
    <row r="13">
      <c r="A13" s="31">
        <v>3.35</v>
      </c>
      <c r="B13" s="32">
        <v>1.508395522</v>
      </c>
      <c r="C13" s="46">
        <v>-0.197674946</v>
      </c>
      <c r="D13" s="32">
        <v>1.706070468</v>
      </c>
      <c r="E13" s="34">
        <f t="shared" si="1"/>
        <v>4.812203847</v>
      </c>
      <c r="F13" s="47">
        <f t="shared" si="2"/>
        <v>-1.462203847</v>
      </c>
      <c r="G13" s="47">
        <f t="shared" si="3"/>
        <v>-0.4364787602</v>
      </c>
      <c r="H13" s="47">
        <f t="shared" si="4"/>
        <v>0.4364787602</v>
      </c>
      <c r="I13" s="47">
        <f t="shared" si="5"/>
        <v>2.13804009</v>
      </c>
    </row>
    <row r="14">
      <c r="A14" s="31">
        <v>4.14</v>
      </c>
      <c r="B14" s="32">
        <v>1.62098918</v>
      </c>
      <c r="C14" s="46">
        <v>0.127305715</v>
      </c>
      <c r="D14" s="32">
        <v>1.493683465</v>
      </c>
      <c r="E14" s="34">
        <f t="shared" si="1"/>
        <v>3.254806809</v>
      </c>
      <c r="F14" s="47">
        <f t="shared" si="2"/>
        <v>0.8851931908</v>
      </c>
      <c r="G14" s="47">
        <f t="shared" si="3"/>
        <v>0.2138147804</v>
      </c>
      <c r="H14" s="47">
        <f t="shared" si="4"/>
        <v>0.2138147804</v>
      </c>
      <c r="I14" s="47">
        <f t="shared" si="5"/>
        <v>0.783566985</v>
      </c>
    </row>
    <row r="15">
      <c r="A15" s="31">
        <v>4.42</v>
      </c>
      <c r="B15" s="32">
        <v>1.657461967</v>
      </c>
      <c r="C15" s="46">
        <v>0.047717413</v>
      </c>
      <c r="D15" s="32">
        <v>1.609744554</v>
      </c>
      <c r="E15" s="34">
        <f t="shared" si="1"/>
        <v>4.056100611</v>
      </c>
      <c r="F15" s="47">
        <f t="shared" si="2"/>
        <v>0.363899389</v>
      </c>
      <c r="G15" s="47">
        <f t="shared" si="3"/>
        <v>0.0823301785</v>
      </c>
      <c r="H15" s="47">
        <f t="shared" si="4"/>
        <v>0.0823301785</v>
      </c>
      <c r="I15" s="47">
        <f t="shared" si="5"/>
        <v>0.1324227653</v>
      </c>
    </row>
    <row r="16">
      <c r="A16" s="31">
        <v>4.45</v>
      </c>
      <c r="B16" s="32">
        <v>1.661278344</v>
      </c>
      <c r="C16" s="46">
        <v>0.013761322</v>
      </c>
      <c r="D16" s="32">
        <v>1.647517022</v>
      </c>
      <c r="E16" s="34">
        <f t="shared" si="1"/>
        <v>4.342452039</v>
      </c>
      <c r="F16" s="47">
        <f t="shared" si="2"/>
        <v>0.1075479607</v>
      </c>
      <c r="G16" s="47">
        <f t="shared" si="3"/>
        <v>0.02416808105</v>
      </c>
      <c r="H16" s="47">
        <f t="shared" si="4"/>
        <v>0.02416808105</v>
      </c>
      <c r="I16" s="47">
        <f t="shared" si="5"/>
        <v>0.01156656385</v>
      </c>
    </row>
    <row r="17">
      <c r="A17" s="31">
        <v>3.6</v>
      </c>
      <c r="B17" s="32">
        <v>1.545762796</v>
      </c>
      <c r="C17" s="46">
        <v>-0.105945421</v>
      </c>
      <c r="D17" s="32">
        <v>1.651708216</v>
      </c>
      <c r="E17" s="34">
        <f t="shared" si="1"/>
        <v>4.375023394</v>
      </c>
      <c r="F17" s="47">
        <f t="shared" si="2"/>
        <v>-0.7750233943</v>
      </c>
      <c r="G17" s="47">
        <f t="shared" si="3"/>
        <v>-0.2152842762</v>
      </c>
      <c r="H17" s="47">
        <f t="shared" si="4"/>
        <v>0.2152842762</v>
      </c>
      <c r="I17" s="47">
        <f t="shared" si="5"/>
        <v>0.6006612617</v>
      </c>
      <c r="K17" s="35" t="s">
        <v>15</v>
      </c>
    </row>
    <row r="18">
      <c r="A18" s="31">
        <v>3.33</v>
      </c>
      <c r="B18" s="32">
        <v>1.505327652</v>
      </c>
      <c r="C18" s="46">
        <v>-0.027979377</v>
      </c>
      <c r="D18" s="32">
        <v>1.533307029</v>
      </c>
      <c r="E18" s="34">
        <f t="shared" si="1"/>
        <v>3.515345532</v>
      </c>
      <c r="F18" s="47">
        <f t="shared" si="2"/>
        <v>-0.1853455321</v>
      </c>
      <c r="G18" s="47">
        <f t="shared" si="3"/>
        <v>-0.05565931894</v>
      </c>
      <c r="H18" s="47">
        <f t="shared" si="4"/>
        <v>0.05565931894</v>
      </c>
      <c r="I18" s="47">
        <f t="shared" si="5"/>
        <v>0.03435296626</v>
      </c>
    </row>
    <row r="19">
      <c r="A19" s="31">
        <v>3.45</v>
      </c>
      <c r="B19" s="32">
        <v>1.523556247</v>
      </c>
      <c r="C19" s="46">
        <v>0.031446438</v>
      </c>
      <c r="D19" s="32">
        <v>1.49210981</v>
      </c>
      <c r="E19" s="34">
        <f t="shared" si="1"/>
        <v>3.244731623</v>
      </c>
      <c r="F19" s="47">
        <f t="shared" si="2"/>
        <v>0.205268377</v>
      </c>
      <c r="G19" s="47">
        <f t="shared" si="3"/>
        <v>0.05949808028</v>
      </c>
      <c r="H19" s="47">
        <f t="shared" si="4"/>
        <v>0.05949808028</v>
      </c>
      <c r="I19" s="47">
        <f t="shared" si="5"/>
        <v>0.04213510659</v>
      </c>
    </row>
    <row r="20">
      <c r="A20" s="31">
        <v>3.21</v>
      </c>
      <c r="B20" s="32">
        <v>1.486660187</v>
      </c>
      <c r="C20" s="46">
        <v>-0.024534726</v>
      </c>
      <c r="D20" s="32">
        <v>1.511194913</v>
      </c>
      <c r="E20" s="34">
        <f t="shared" si="1"/>
        <v>3.368318769</v>
      </c>
      <c r="F20" s="47">
        <f t="shared" si="2"/>
        <v>-0.1583187689</v>
      </c>
      <c r="G20" s="47">
        <f t="shared" si="3"/>
        <v>-0.04932048874</v>
      </c>
      <c r="H20" s="47">
        <f t="shared" si="4"/>
        <v>0.04932048874</v>
      </c>
      <c r="I20" s="47">
        <f t="shared" si="5"/>
        <v>0.02506483257</v>
      </c>
    </row>
    <row r="21">
      <c r="A21" s="31">
        <v>2.79</v>
      </c>
      <c r="B21" s="32">
        <v>1.417442431</v>
      </c>
      <c r="C21" s="46">
        <v>-0.056188168</v>
      </c>
      <c r="D21" s="32">
        <v>1.473630599</v>
      </c>
      <c r="E21" s="34">
        <f t="shared" si="1"/>
        <v>3.127956313</v>
      </c>
      <c r="F21" s="47">
        <f t="shared" si="2"/>
        <v>-0.337956313</v>
      </c>
      <c r="G21" s="47">
        <f t="shared" si="3"/>
        <v>-0.121131295</v>
      </c>
      <c r="H21" s="47">
        <f t="shared" si="4"/>
        <v>0.121131295</v>
      </c>
      <c r="I21" s="47">
        <f t="shared" si="5"/>
        <v>0.1142144695</v>
      </c>
    </row>
    <row r="22">
      <c r="A22" s="31">
        <v>3.07</v>
      </c>
      <c r="B22" s="32">
        <v>1.464289835</v>
      </c>
      <c r="C22" s="46">
        <v>0.061407391</v>
      </c>
      <c r="D22" s="32">
        <v>1.402882444</v>
      </c>
      <c r="E22" s="34">
        <f t="shared" si="1"/>
        <v>2.706546735</v>
      </c>
      <c r="F22" s="47">
        <f t="shared" si="2"/>
        <v>0.3634532653</v>
      </c>
      <c r="G22" s="47">
        <f t="shared" si="3"/>
        <v>0.1183886858</v>
      </c>
      <c r="H22" s="47">
        <f t="shared" si="4"/>
        <v>0.1183886858</v>
      </c>
      <c r="I22" s="47">
        <f t="shared" si="5"/>
        <v>0.1320982761</v>
      </c>
    </row>
    <row r="23">
      <c r="A23" s="31">
        <v>3.31</v>
      </c>
      <c r="B23" s="32">
        <v>1.502247597</v>
      </c>
      <c r="C23" s="46">
        <v>0.050845193</v>
      </c>
      <c r="D23" s="32">
        <v>1.451402404</v>
      </c>
      <c r="E23" s="34">
        <f t="shared" si="1"/>
        <v>2.991207786</v>
      </c>
      <c r="F23" s="47">
        <f t="shared" si="2"/>
        <v>0.3187922141</v>
      </c>
      <c r="G23" s="47">
        <f t="shared" si="3"/>
        <v>0.09631184715</v>
      </c>
      <c r="H23" s="47">
        <f t="shared" si="4"/>
        <v>0.09631184715</v>
      </c>
      <c r="I23" s="47">
        <f t="shared" si="5"/>
        <v>0.1016284757</v>
      </c>
    </row>
    <row r="24">
      <c r="A24" s="31">
        <v>3.58</v>
      </c>
      <c r="B24" s="32">
        <v>1.542837652</v>
      </c>
      <c r="C24" s="46">
        <v>0.052092615</v>
      </c>
      <c r="D24" s="32">
        <v>1.490745038</v>
      </c>
      <c r="E24" s="34">
        <f t="shared" si="1"/>
        <v>3.236010477</v>
      </c>
      <c r="F24" s="47">
        <f t="shared" si="2"/>
        <v>0.3439895233</v>
      </c>
      <c r="G24" s="47">
        <f t="shared" si="3"/>
        <v>0.09608645903</v>
      </c>
      <c r="H24" s="47">
        <f t="shared" si="4"/>
        <v>0.09608645903</v>
      </c>
      <c r="I24" s="47">
        <f t="shared" si="5"/>
        <v>0.1183287921</v>
      </c>
    </row>
    <row r="25">
      <c r="A25" s="31">
        <v>3.02</v>
      </c>
      <c r="B25" s="32">
        <v>1.456137413</v>
      </c>
      <c r="C25" s="46">
        <v>-0.076616528</v>
      </c>
      <c r="D25" s="32">
        <v>1.532753941</v>
      </c>
      <c r="E25" s="34">
        <f t="shared" si="1"/>
        <v>3.511617307</v>
      </c>
      <c r="F25" s="47">
        <f t="shared" si="2"/>
        <v>-0.4916173067</v>
      </c>
      <c r="G25" s="47">
        <f t="shared" si="3"/>
        <v>-0.1627871877</v>
      </c>
      <c r="H25" s="47">
        <f t="shared" si="4"/>
        <v>0.1627871877</v>
      </c>
      <c r="I25" s="47">
        <f t="shared" si="5"/>
        <v>0.2416875763</v>
      </c>
    </row>
    <row r="26">
      <c r="A26" s="31">
        <v>3.49</v>
      </c>
      <c r="B26" s="32">
        <v>1.529539317</v>
      </c>
      <c r="C26" s="46">
        <v>0.085572422</v>
      </c>
      <c r="D26" s="32">
        <v>1.443966896</v>
      </c>
      <c r="E26" s="34">
        <f t="shared" si="1"/>
        <v>2.946361227</v>
      </c>
      <c r="F26" s="47">
        <f t="shared" si="2"/>
        <v>0.5436387734</v>
      </c>
      <c r="G26" s="47">
        <f t="shared" si="3"/>
        <v>0.1557704222</v>
      </c>
      <c r="H26" s="47">
        <f t="shared" si="4"/>
        <v>0.1557704222</v>
      </c>
      <c r="I26" s="47">
        <f t="shared" si="5"/>
        <v>0.295543116</v>
      </c>
      <c r="K26" s="35" t="s">
        <v>21</v>
      </c>
    </row>
    <row r="27">
      <c r="A27" s="31">
        <v>3.83</v>
      </c>
      <c r="B27" s="32">
        <v>1.578656286</v>
      </c>
      <c r="C27" s="46">
        <v>0.058956747</v>
      </c>
      <c r="D27" s="32">
        <v>1.519699539</v>
      </c>
      <c r="E27" s="34">
        <f t="shared" si="1"/>
        <v>3.424376941</v>
      </c>
      <c r="F27" s="47">
        <f t="shared" si="2"/>
        <v>0.4056230594</v>
      </c>
      <c r="G27" s="47">
        <f t="shared" si="3"/>
        <v>0.105906804</v>
      </c>
      <c r="H27" s="47">
        <f t="shared" si="4"/>
        <v>0.105906804</v>
      </c>
      <c r="I27" s="47">
        <f t="shared" si="5"/>
        <v>0.1645300663</v>
      </c>
    </row>
    <row r="28">
      <c r="A28" s="31">
        <v>3.61</v>
      </c>
      <c r="B28" s="32">
        <v>1.547221347</v>
      </c>
      <c r="C28" s="46">
        <v>-0.023200967</v>
      </c>
      <c r="D28" s="32">
        <v>1.570422314</v>
      </c>
      <c r="E28" s="34">
        <f t="shared" si="1"/>
        <v>3.771542384</v>
      </c>
      <c r="F28" s="47">
        <f t="shared" si="2"/>
        <v>-0.161542384</v>
      </c>
      <c r="G28" s="47">
        <f t="shared" si="3"/>
        <v>-0.04474858284</v>
      </c>
      <c r="H28" s="47">
        <f t="shared" si="4"/>
        <v>0.04474858284</v>
      </c>
      <c r="I28" s="47">
        <f t="shared" si="5"/>
        <v>0.02609594184</v>
      </c>
    </row>
    <row r="29">
      <c r="A29" s="31">
        <v>4.17</v>
      </c>
      <c r="B29" s="32">
        <v>1.624973409</v>
      </c>
      <c r="C29" s="46">
        <v>0.08661796</v>
      </c>
      <c r="D29" s="32">
        <v>1.538355449</v>
      </c>
      <c r="E29" s="34">
        <f t="shared" si="1"/>
        <v>3.549496462</v>
      </c>
      <c r="F29" s="47">
        <f t="shared" si="2"/>
        <v>0.6205035383</v>
      </c>
      <c r="G29" s="47">
        <f t="shared" si="3"/>
        <v>0.1488018077</v>
      </c>
      <c r="H29" s="47">
        <f t="shared" si="4"/>
        <v>0.1488018077</v>
      </c>
      <c r="I29" s="47">
        <f t="shared" si="5"/>
        <v>0.385024641</v>
      </c>
    </row>
    <row r="30">
      <c r="A30" s="31">
        <v>4.33</v>
      </c>
      <c r="B30" s="32">
        <v>1.645909245</v>
      </c>
      <c r="C30" s="46">
        <v>0.027442517</v>
      </c>
      <c r="D30" s="32">
        <v>1.618466729</v>
      </c>
      <c r="E30" s="34">
        <f t="shared" si="1"/>
        <v>4.121080575</v>
      </c>
      <c r="F30" s="47">
        <f t="shared" si="2"/>
        <v>0.2089194254</v>
      </c>
      <c r="G30" s="47">
        <f t="shared" si="3"/>
        <v>0.04824928993</v>
      </c>
      <c r="H30" s="47">
        <f t="shared" si="4"/>
        <v>0.04824928993</v>
      </c>
      <c r="I30" s="47">
        <f t="shared" si="5"/>
        <v>0.0436473263</v>
      </c>
    </row>
    <row r="31">
      <c r="A31" s="31">
        <v>4.37</v>
      </c>
      <c r="B31" s="32">
        <v>1.651063165</v>
      </c>
      <c r="C31" s="46">
        <v>0.010913148</v>
      </c>
      <c r="D31" s="32">
        <v>1.640150018</v>
      </c>
      <c r="E31" s="34">
        <f t="shared" si="1"/>
        <v>4.285588905</v>
      </c>
      <c r="F31" s="47">
        <f t="shared" si="2"/>
        <v>0.08441109535</v>
      </c>
      <c r="G31" s="47">
        <f t="shared" si="3"/>
        <v>0.01931604013</v>
      </c>
      <c r="H31" s="47">
        <f t="shared" si="4"/>
        <v>0.01931604013</v>
      </c>
      <c r="I31" s="47">
        <f t="shared" si="5"/>
        <v>0.007125233019</v>
      </c>
    </row>
    <row r="32">
      <c r="A32" s="31">
        <v>3.88</v>
      </c>
      <c r="B32" s="32">
        <v>1.585633405</v>
      </c>
      <c r="C32" s="46">
        <v>-0.059967774</v>
      </c>
      <c r="D32" s="32">
        <v>1.645601179</v>
      </c>
      <c r="E32" s="34">
        <f t="shared" si="1"/>
        <v>4.327616756</v>
      </c>
      <c r="F32" s="47">
        <f t="shared" si="2"/>
        <v>-0.4476167559</v>
      </c>
      <c r="G32" s="47">
        <f t="shared" si="3"/>
        <v>-0.1153651433</v>
      </c>
      <c r="H32" s="47">
        <f t="shared" si="4"/>
        <v>0.1153651433</v>
      </c>
      <c r="I32" s="47">
        <f t="shared" si="5"/>
        <v>0.2003607601</v>
      </c>
    </row>
    <row r="33">
      <c r="A33" s="31">
        <v>3.82</v>
      </c>
      <c r="B33" s="32">
        <v>1.577253658</v>
      </c>
      <c r="C33" s="46">
        <v>-0.001284416</v>
      </c>
      <c r="D33" s="32">
        <v>1.578538075</v>
      </c>
      <c r="E33" s="34">
        <f t="shared" si="1"/>
        <v>3.829156554</v>
      </c>
      <c r="F33" s="47">
        <f t="shared" si="2"/>
        <v>-0.009156553865</v>
      </c>
      <c r="G33" s="47">
        <f t="shared" si="3"/>
        <v>-0.00239700363</v>
      </c>
      <c r="H33" s="47">
        <f t="shared" si="4"/>
        <v>0.00239700363</v>
      </c>
      <c r="I33" s="47">
        <f t="shared" si="5"/>
        <v>0.00008384247869</v>
      </c>
    </row>
    <row r="34">
      <c r="A34" s="31">
        <v>3.72</v>
      </c>
      <c r="B34" s="32">
        <v>1.563092213</v>
      </c>
      <c r="C34" s="46">
        <v>-0.007031131</v>
      </c>
      <c r="D34" s="32">
        <v>1.570123344</v>
      </c>
      <c r="E34" s="34">
        <f t="shared" si="1"/>
        <v>3.769430982</v>
      </c>
      <c r="F34" s="47">
        <f t="shared" si="2"/>
        <v>-0.0494309818</v>
      </c>
      <c r="G34" s="47">
        <f t="shared" si="3"/>
        <v>-0.01328789833</v>
      </c>
      <c r="H34" s="47">
        <f t="shared" si="4"/>
        <v>0.01328789833</v>
      </c>
      <c r="I34" s="47">
        <f t="shared" si="5"/>
        <v>0.002443421961</v>
      </c>
    </row>
    <row r="35">
      <c r="A35" s="31">
        <v>3.58</v>
      </c>
      <c r="B35" s="32">
        <v>1.542837652</v>
      </c>
      <c r="C35" s="46">
        <v>-0.01293274</v>
      </c>
      <c r="D35" s="32">
        <v>1.555770392</v>
      </c>
      <c r="E35" s="34">
        <f t="shared" si="1"/>
        <v>3.668982113</v>
      </c>
      <c r="F35" s="47">
        <f t="shared" si="2"/>
        <v>-0.08898211322</v>
      </c>
      <c r="G35" s="47">
        <f t="shared" si="3"/>
        <v>-0.02485533889</v>
      </c>
      <c r="H35" s="47">
        <f t="shared" si="4"/>
        <v>0.02485533889</v>
      </c>
      <c r="I35" s="47">
        <f t="shared" si="5"/>
        <v>0.007917816474</v>
      </c>
    </row>
    <row r="36">
      <c r="A36" s="31">
        <v>3.3</v>
      </c>
      <c r="B36" s="32">
        <v>1.500702961</v>
      </c>
      <c r="C36" s="46">
        <v>-0.03446062</v>
      </c>
      <c r="D36" s="32">
        <v>1.535163581</v>
      </c>
      <c r="E36" s="34">
        <f t="shared" si="1"/>
        <v>3.527879177</v>
      </c>
      <c r="F36" s="47">
        <f t="shared" si="2"/>
        <v>-0.2278791766</v>
      </c>
      <c r="G36" s="47">
        <f t="shared" si="3"/>
        <v>-0.06905429593</v>
      </c>
      <c r="H36" s="47">
        <f t="shared" si="4"/>
        <v>0.06905429593</v>
      </c>
      <c r="I36" s="47">
        <f t="shared" si="5"/>
        <v>0.05192891911</v>
      </c>
    </row>
    <row r="37">
      <c r="A37" s="31">
        <v>3.61</v>
      </c>
      <c r="B37" s="32">
        <v>1.547221347</v>
      </c>
      <c r="C37" s="46">
        <v>0.055131061</v>
      </c>
      <c r="D37" s="32">
        <v>1.492090285</v>
      </c>
      <c r="E37" s="34">
        <f t="shared" si="1"/>
        <v>3.244606745</v>
      </c>
      <c r="F37" s="47">
        <f t="shared" si="2"/>
        <v>0.3653932546</v>
      </c>
      <c r="G37" s="47">
        <f t="shared" si="3"/>
        <v>0.101216968</v>
      </c>
      <c r="H37" s="47">
        <f t="shared" si="4"/>
        <v>0.101216968</v>
      </c>
      <c r="I37" s="47">
        <f t="shared" si="5"/>
        <v>0.1335122305</v>
      </c>
    </row>
    <row r="38">
      <c r="A38" s="31">
        <v>3.25</v>
      </c>
      <c r="B38" s="32">
        <v>1.492933086</v>
      </c>
      <c r="C38" s="46">
        <v>-0.047177192</v>
      </c>
      <c r="D38" s="32">
        <v>1.540110277</v>
      </c>
      <c r="E38" s="34">
        <f t="shared" si="1"/>
        <v>3.561418388</v>
      </c>
      <c r="F38" s="47">
        <f t="shared" si="2"/>
        <v>-0.3114183881</v>
      </c>
      <c r="G38" s="47">
        <f t="shared" si="3"/>
        <v>-0.09582104248</v>
      </c>
      <c r="H38" s="47">
        <f t="shared" si="4"/>
        <v>0.09582104248</v>
      </c>
      <c r="I38" s="47">
        <f t="shared" si="5"/>
        <v>0.09698141242</v>
      </c>
    </row>
    <row r="39">
      <c r="A39" s="31">
        <v>3.18</v>
      </c>
      <c r="B39" s="32">
        <v>1.481921575</v>
      </c>
      <c r="C39" s="46">
        <v>-0.002615475</v>
      </c>
      <c r="D39" s="32">
        <v>1.484537049</v>
      </c>
      <c r="E39" s="34">
        <f t="shared" si="1"/>
        <v>3.196535494</v>
      </c>
      <c r="F39" s="47">
        <f t="shared" si="2"/>
        <v>-0.01653549374</v>
      </c>
      <c r="G39" s="47">
        <f t="shared" si="3"/>
        <v>-0.0051998408</v>
      </c>
      <c r="H39" s="47">
        <f t="shared" si="4"/>
        <v>0.0051998408</v>
      </c>
      <c r="I39" s="47">
        <f t="shared" si="5"/>
        <v>0.0002734225533</v>
      </c>
    </row>
    <row r="40">
      <c r="A40" s="31">
        <v>3.4</v>
      </c>
      <c r="B40" s="32">
        <v>1.516012673</v>
      </c>
      <c r="C40" s="46">
        <v>0.042558372</v>
      </c>
      <c r="D40" s="32">
        <v>1.473454301</v>
      </c>
      <c r="E40" s="34">
        <f t="shared" si="1"/>
        <v>3.126855813</v>
      </c>
      <c r="F40" s="47">
        <f t="shared" si="2"/>
        <v>0.2731441871</v>
      </c>
      <c r="G40" s="47">
        <f t="shared" si="3"/>
        <v>0.0803365256</v>
      </c>
      <c r="H40" s="47">
        <f t="shared" si="4"/>
        <v>0.0803365256</v>
      </c>
      <c r="I40" s="47">
        <f t="shared" si="5"/>
        <v>0.07460774692</v>
      </c>
    </row>
    <row r="41">
      <c r="A41" s="31">
        <v>3.41</v>
      </c>
      <c r="B41" s="32">
        <v>1.517527217</v>
      </c>
      <c r="C41" s="46">
        <v>0.008822654</v>
      </c>
      <c r="D41" s="32">
        <v>1.508704563</v>
      </c>
      <c r="E41" s="34">
        <f t="shared" si="1"/>
        <v>3.352019079</v>
      </c>
      <c r="F41" s="47">
        <f t="shared" si="2"/>
        <v>0.05798092089</v>
      </c>
      <c r="G41" s="47">
        <f t="shared" si="3"/>
        <v>0.01700320261</v>
      </c>
      <c r="H41" s="47">
        <f t="shared" si="4"/>
        <v>0.01700320261</v>
      </c>
      <c r="I41" s="47">
        <f t="shared" si="5"/>
        <v>0.003361787187</v>
      </c>
    </row>
    <row r="42">
      <c r="A42" s="31">
        <v>3.23</v>
      </c>
      <c r="B42" s="32">
        <v>1.489803045</v>
      </c>
      <c r="C42" s="46">
        <v>-0.020656365</v>
      </c>
      <c r="D42" s="32">
        <v>1.51045941</v>
      </c>
      <c r="E42" s="34">
        <f t="shared" si="1"/>
        <v>3.363499368</v>
      </c>
      <c r="F42" s="47">
        <f t="shared" si="2"/>
        <v>-0.1334993679</v>
      </c>
      <c r="G42" s="47">
        <f t="shared" si="3"/>
        <v>-0.04133107365</v>
      </c>
      <c r="H42" s="47">
        <f t="shared" si="4"/>
        <v>0.04133107365</v>
      </c>
      <c r="I42" s="47">
        <f t="shared" si="5"/>
        <v>0.01782208123</v>
      </c>
    </row>
    <row r="43">
      <c r="A43" s="31">
        <v>3.12</v>
      </c>
      <c r="B43" s="32">
        <v>1.47235509</v>
      </c>
      <c r="C43" s="46">
        <v>-0.00981753</v>
      </c>
      <c r="D43" s="32">
        <v>1.48217262</v>
      </c>
      <c r="E43" s="34">
        <f t="shared" si="1"/>
        <v>3.181584698</v>
      </c>
      <c r="F43" s="47">
        <f t="shared" si="2"/>
        <v>-0.06158469798</v>
      </c>
      <c r="G43" s="47">
        <f t="shared" si="3"/>
        <v>-0.01973868525</v>
      </c>
      <c r="H43" s="47">
        <f t="shared" si="4"/>
        <v>0.01973868525</v>
      </c>
      <c r="I43" s="47">
        <f t="shared" si="5"/>
        <v>0.003792675025</v>
      </c>
    </row>
    <row r="44">
      <c r="A44" s="31">
        <v>3.18</v>
      </c>
      <c r="B44" s="32">
        <v>1.481921575</v>
      </c>
      <c r="C44" s="46">
        <v>0.017464311</v>
      </c>
      <c r="D44" s="32">
        <v>1.464457264</v>
      </c>
      <c r="E44" s="34">
        <f t="shared" si="1"/>
        <v>3.071032548</v>
      </c>
      <c r="F44" s="47">
        <f t="shared" si="2"/>
        <v>0.108967452</v>
      </c>
      <c r="G44" s="47">
        <f t="shared" si="3"/>
        <v>0.03426649433</v>
      </c>
      <c r="H44" s="47">
        <f t="shared" si="4"/>
        <v>0.03426649433</v>
      </c>
      <c r="I44" s="47">
        <f t="shared" si="5"/>
        <v>0.01187390559</v>
      </c>
    </row>
    <row r="45">
      <c r="A45" s="31">
        <v>3.2</v>
      </c>
      <c r="B45" s="32">
        <v>1.485083909</v>
      </c>
      <c r="C45" s="46">
        <v>0.010584484</v>
      </c>
      <c r="D45" s="32">
        <v>1.474499425</v>
      </c>
      <c r="E45" s="34">
        <f t="shared" si="1"/>
        <v>3.133383496</v>
      </c>
      <c r="F45" s="47">
        <f t="shared" si="2"/>
        <v>0.06661650433</v>
      </c>
      <c r="G45" s="47">
        <f t="shared" si="3"/>
        <v>0.0208176576</v>
      </c>
      <c r="H45" s="47">
        <f t="shared" si="4"/>
        <v>0.0208176576</v>
      </c>
      <c r="I45" s="47">
        <f t="shared" si="5"/>
        <v>0.004437758649</v>
      </c>
    </row>
    <row r="46">
      <c r="A46" s="31">
        <v>2.88</v>
      </c>
      <c r="B46" s="32">
        <v>1.432825974</v>
      </c>
      <c r="C46" s="46">
        <v>-0.045124075</v>
      </c>
      <c r="D46" s="32">
        <v>1.47795005</v>
      </c>
      <c r="E46" s="34">
        <f t="shared" si="1"/>
        <v>3.154999421</v>
      </c>
      <c r="F46" s="47">
        <f t="shared" si="2"/>
        <v>-0.2749994214</v>
      </c>
      <c r="G46" s="47">
        <f t="shared" si="3"/>
        <v>-0.09548591021</v>
      </c>
      <c r="H46" s="47">
        <f t="shared" si="4"/>
        <v>0.09548591021</v>
      </c>
      <c r="I46" s="47">
        <f t="shared" si="5"/>
        <v>0.07562468177</v>
      </c>
    </row>
    <row r="47">
      <c r="A47" s="31">
        <v>3.16</v>
      </c>
      <c r="B47" s="32">
        <v>1.478746086</v>
      </c>
      <c r="C47" s="46">
        <v>0.054283017</v>
      </c>
      <c r="D47" s="32">
        <v>1.424463069</v>
      </c>
      <c r="E47" s="34">
        <f t="shared" si="1"/>
        <v>2.830839695</v>
      </c>
      <c r="F47" s="47">
        <f t="shared" si="2"/>
        <v>0.3291603054</v>
      </c>
      <c r="G47" s="47">
        <f t="shared" si="3"/>
        <v>0.1041646536</v>
      </c>
      <c r="H47" s="47">
        <f t="shared" si="4"/>
        <v>0.1041646536</v>
      </c>
      <c r="I47" s="47">
        <f t="shared" si="5"/>
        <v>0.1083465067</v>
      </c>
    </row>
    <row r="48">
      <c r="A48" s="31">
        <v>3.23</v>
      </c>
      <c r="B48" s="32">
        <v>1.489803045</v>
      </c>
      <c r="C48" s="46">
        <v>0.017941356</v>
      </c>
      <c r="D48" s="32">
        <v>1.471861689</v>
      </c>
      <c r="E48" s="34">
        <f t="shared" si="1"/>
        <v>3.116925874</v>
      </c>
      <c r="F48" s="47">
        <f t="shared" si="2"/>
        <v>0.1130741255</v>
      </c>
      <c r="G48" s="47">
        <f t="shared" si="3"/>
        <v>0.0350074692</v>
      </c>
      <c r="H48" s="47">
        <f t="shared" si="4"/>
        <v>0.0350074692</v>
      </c>
      <c r="I48" s="47">
        <f t="shared" si="5"/>
        <v>0.01278575786</v>
      </c>
    </row>
    <row r="49">
      <c r="A49" s="31">
        <v>3.13</v>
      </c>
      <c r="B49" s="32">
        <v>1.473957885</v>
      </c>
      <c r="C49" s="46">
        <v>-0.009449432</v>
      </c>
      <c r="D49" s="32">
        <v>1.483407317</v>
      </c>
      <c r="E49" s="34">
        <f t="shared" si="1"/>
        <v>3.189386183</v>
      </c>
      <c r="F49" s="47">
        <f t="shared" si="2"/>
        <v>-0.05938618282</v>
      </c>
      <c r="G49" s="47">
        <f t="shared" si="3"/>
        <v>-0.01897322135</v>
      </c>
      <c r="H49" s="47">
        <f t="shared" si="4"/>
        <v>0.01897322135</v>
      </c>
      <c r="I49" s="47">
        <f t="shared" si="5"/>
        <v>0.00352671871</v>
      </c>
    </row>
    <row r="50">
      <c r="A50" s="31">
        <v>2.82</v>
      </c>
      <c r="B50" s="32">
        <v>1.422606199</v>
      </c>
      <c r="C50" s="46">
        <v>-0.044698584</v>
      </c>
      <c r="D50" s="32">
        <v>1.467304783</v>
      </c>
      <c r="E50" s="34">
        <f t="shared" si="1"/>
        <v>3.088628581</v>
      </c>
      <c r="F50" s="47">
        <f t="shared" si="2"/>
        <v>-0.2686285811</v>
      </c>
      <c r="G50" s="47">
        <f t="shared" si="3"/>
        <v>-0.0952583621</v>
      </c>
      <c r="H50" s="47">
        <f t="shared" si="4"/>
        <v>0.0952583621</v>
      </c>
      <c r="I50" s="47">
        <f t="shared" si="5"/>
        <v>0.0721613146</v>
      </c>
    </row>
    <row r="51">
      <c r="A51" s="31">
        <v>2.57</v>
      </c>
      <c r="B51" s="32">
        <v>1.37840634</v>
      </c>
      <c r="C51" s="46">
        <v>-0.0363293</v>
      </c>
      <c r="D51" s="32">
        <v>1.41473564</v>
      </c>
      <c r="E51" s="34">
        <f t="shared" si="1"/>
        <v>2.774358827</v>
      </c>
      <c r="F51" s="47">
        <f t="shared" si="2"/>
        <v>-0.2043588266</v>
      </c>
      <c r="G51" s="47">
        <f t="shared" si="3"/>
        <v>-0.07951705314</v>
      </c>
      <c r="H51" s="47">
        <f t="shared" si="4"/>
        <v>0.07951705314</v>
      </c>
      <c r="I51" s="47">
        <f t="shared" si="5"/>
        <v>0.04176253</v>
      </c>
    </row>
    <row r="52">
      <c r="A52" s="31">
        <v>2.48</v>
      </c>
      <c r="B52" s="32">
        <v>1.361800758</v>
      </c>
      <c r="C52" s="46">
        <v>-0.00774552</v>
      </c>
      <c r="D52" s="32">
        <v>1.369546278</v>
      </c>
      <c r="E52" s="34">
        <f t="shared" si="1"/>
        <v>2.521716219</v>
      </c>
      <c r="F52" s="47">
        <f t="shared" si="2"/>
        <v>-0.04171621887</v>
      </c>
      <c r="G52" s="47">
        <f t="shared" si="3"/>
        <v>-0.016821056</v>
      </c>
      <c r="H52" s="47">
        <f t="shared" si="4"/>
        <v>0.016821056</v>
      </c>
      <c r="I52" s="47">
        <f t="shared" si="5"/>
        <v>0.001740242917</v>
      </c>
    </row>
    <row r="53">
      <c r="A53" s="31">
        <v>2.83</v>
      </c>
      <c r="B53" s="32">
        <v>1.424319395</v>
      </c>
      <c r="C53" s="46">
        <v>0.071589664</v>
      </c>
      <c r="D53" s="32">
        <v>1.352729731</v>
      </c>
      <c r="E53" s="34">
        <f t="shared" si="1"/>
        <v>2.43172696</v>
      </c>
      <c r="F53" s="47">
        <f t="shared" si="2"/>
        <v>0.3982730405</v>
      </c>
      <c r="G53" s="47">
        <f t="shared" si="3"/>
        <v>0.1407325231</v>
      </c>
      <c r="H53" s="47">
        <f t="shared" si="4"/>
        <v>0.1407325231</v>
      </c>
      <c r="I53" s="47">
        <f t="shared" si="5"/>
        <v>0.1586214148</v>
      </c>
    </row>
    <row r="54">
      <c r="A54" s="31">
        <v>3.32</v>
      </c>
      <c r="B54" s="32">
        <v>1.503789155</v>
      </c>
      <c r="C54" s="46">
        <v>0.086590897</v>
      </c>
      <c r="D54" s="32">
        <v>1.417198258</v>
      </c>
      <c r="E54" s="34">
        <f t="shared" si="1"/>
        <v>2.788586667</v>
      </c>
      <c r="F54" s="47">
        <f t="shared" si="2"/>
        <v>0.5314133329</v>
      </c>
      <c r="G54" s="47">
        <f t="shared" si="3"/>
        <v>0.1600642569</v>
      </c>
      <c r="H54" s="47">
        <f t="shared" si="4"/>
        <v>0.1600642569</v>
      </c>
      <c r="I54" s="47">
        <f t="shared" si="5"/>
        <v>0.2824001304</v>
      </c>
    </row>
    <row r="55">
      <c r="A55" s="31">
        <v>3.28</v>
      </c>
      <c r="B55" s="32">
        <v>1.497604398</v>
      </c>
      <c r="C55" s="46">
        <v>-0.0014221</v>
      </c>
      <c r="D55" s="32">
        <v>1.499026498</v>
      </c>
      <c r="E55" s="34">
        <f t="shared" si="1"/>
        <v>3.289169129</v>
      </c>
      <c r="F55" s="47">
        <f t="shared" si="2"/>
        <v>-0.009169128907</v>
      </c>
      <c r="G55" s="47">
        <f t="shared" si="3"/>
        <v>-0.00279546613</v>
      </c>
      <c r="H55" s="47">
        <f t="shared" si="4"/>
        <v>0.00279546613</v>
      </c>
      <c r="I55" s="47">
        <f t="shared" si="5"/>
        <v>0.00008407292491</v>
      </c>
    </row>
    <row r="56">
      <c r="A56" s="31">
        <v>3.32</v>
      </c>
      <c r="B56" s="32">
        <v>1.503789155</v>
      </c>
      <c r="C56" s="46">
        <v>0.010986148</v>
      </c>
      <c r="D56" s="32">
        <v>1.492803007</v>
      </c>
      <c r="E56" s="34">
        <f t="shared" si="1"/>
        <v>3.249167215</v>
      </c>
      <c r="F56" s="47">
        <f t="shared" si="2"/>
        <v>0.07083278524</v>
      </c>
      <c r="G56" s="47">
        <f t="shared" si="3"/>
        <v>0.02133517628</v>
      </c>
      <c r="H56" s="47">
        <f t="shared" si="4"/>
        <v>0.02133517628</v>
      </c>
      <c r="I56" s="47">
        <f t="shared" si="5"/>
        <v>0.005017283464</v>
      </c>
    </row>
    <row r="57">
      <c r="A57" s="31">
        <v>3.49</v>
      </c>
      <c r="B57" s="32">
        <v>1.529539317</v>
      </c>
      <c r="C57" s="46">
        <v>0.030252323</v>
      </c>
      <c r="D57" s="32">
        <v>1.499286994</v>
      </c>
      <c r="E57" s="34">
        <f t="shared" si="1"/>
        <v>3.290850534</v>
      </c>
      <c r="F57" s="47">
        <f t="shared" si="2"/>
        <v>0.1991494663</v>
      </c>
      <c r="G57" s="47">
        <f t="shared" si="3"/>
        <v>0.05706288432</v>
      </c>
      <c r="H57" s="47">
        <f t="shared" si="4"/>
        <v>0.05706288432</v>
      </c>
      <c r="I57" s="47">
        <f t="shared" si="5"/>
        <v>0.03966050992</v>
      </c>
    </row>
    <row r="58">
      <c r="A58" s="31">
        <v>3.39</v>
      </c>
      <c r="B58" s="32">
        <v>1.514495187</v>
      </c>
      <c r="C58" s="46">
        <v>-0.011365954</v>
      </c>
      <c r="D58" s="32">
        <v>1.52586114</v>
      </c>
      <c r="E58" s="34">
        <f t="shared" si="1"/>
        <v>3.4653734</v>
      </c>
      <c r="F58" s="47">
        <f t="shared" si="2"/>
        <v>-0.07537339991</v>
      </c>
      <c r="G58" s="47">
        <f t="shared" si="3"/>
        <v>-0.02223404127</v>
      </c>
      <c r="H58" s="47">
        <f t="shared" si="4"/>
        <v>0.02223404127</v>
      </c>
      <c r="I58" s="47">
        <f t="shared" si="5"/>
        <v>0.005681149414</v>
      </c>
    </row>
    <row r="59">
      <c r="A59" s="31">
        <v>3.13</v>
      </c>
      <c r="B59" s="32">
        <v>1.473957885</v>
      </c>
      <c r="C59" s="46">
        <v>-0.036549549</v>
      </c>
      <c r="D59" s="32">
        <v>1.510507435</v>
      </c>
      <c r="E59" s="34">
        <f t="shared" si="1"/>
        <v>3.363813914</v>
      </c>
      <c r="F59" s="47">
        <f t="shared" si="2"/>
        <v>-0.2338139139</v>
      </c>
      <c r="G59" s="47">
        <f t="shared" si="3"/>
        <v>-0.07470093095</v>
      </c>
      <c r="H59" s="47">
        <f t="shared" si="4"/>
        <v>0.07470093095</v>
      </c>
      <c r="I59" s="47">
        <f t="shared" si="5"/>
        <v>0.05466894632</v>
      </c>
    </row>
    <row r="60">
      <c r="A60" s="31">
        <v>3.0</v>
      </c>
      <c r="B60" s="32">
        <v>1.452851502</v>
      </c>
      <c r="C60" s="46">
        <v>-0.01612313</v>
      </c>
      <c r="D60" s="32">
        <v>1.468974632</v>
      </c>
      <c r="E60" s="34">
        <f t="shared" si="1"/>
        <v>3.098978174</v>
      </c>
      <c r="F60" s="47">
        <f t="shared" si="2"/>
        <v>-0.09897817362</v>
      </c>
      <c r="G60" s="47">
        <f t="shared" si="3"/>
        <v>-0.03299272454</v>
      </c>
      <c r="H60" s="47">
        <f t="shared" si="4"/>
        <v>0.03299272454</v>
      </c>
      <c r="I60" s="47">
        <f t="shared" si="5"/>
        <v>0.009796678854</v>
      </c>
    </row>
    <row r="61">
      <c r="A61" s="31">
        <v>2.72</v>
      </c>
      <c r="B61" s="32">
        <v>1.405249461</v>
      </c>
      <c r="C61" s="46">
        <v>-0.042179641</v>
      </c>
      <c r="D61" s="32">
        <v>1.447429102</v>
      </c>
      <c r="E61" s="34">
        <f t="shared" si="1"/>
        <v>2.967187569</v>
      </c>
      <c r="F61" s="47">
        <f t="shared" si="2"/>
        <v>-0.2471875692</v>
      </c>
      <c r="G61" s="47">
        <f t="shared" si="3"/>
        <v>-0.09087778279</v>
      </c>
      <c r="H61" s="47">
        <f t="shared" si="4"/>
        <v>0.09087778279</v>
      </c>
      <c r="I61" s="47">
        <f t="shared" si="5"/>
        <v>0.06110169437</v>
      </c>
    </row>
    <row r="62">
      <c r="A62" s="31">
        <v>2.68</v>
      </c>
      <c r="B62" s="32">
        <v>1.398188835</v>
      </c>
      <c r="C62" s="46">
        <v>-4.89377E-4</v>
      </c>
      <c r="D62" s="32">
        <v>1.398678213</v>
      </c>
      <c r="E62" s="34">
        <f t="shared" si="1"/>
        <v>2.682759825</v>
      </c>
      <c r="F62" s="47">
        <f t="shared" si="2"/>
        <v>-0.002759825309</v>
      </c>
      <c r="G62" s="47">
        <f t="shared" si="3"/>
        <v>-0.001029785563</v>
      </c>
      <c r="H62" s="47">
        <f t="shared" si="4"/>
        <v>0.001029785563</v>
      </c>
      <c r="I62" s="47">
        <f t="shared" si="5"/>
        <v>0.000007616635737</v>
      </c>
    </row>
    <row r="63">
      <c r="A63" s="31">
        <v>2.98</v>
      </c>
      <c r="B63" s="32">
        <v>1.4495511</v>
      </c>
      <c r="C63" s="46">
        <v>0.057946842</v>
      </c>
      <c r="D63" s="32">
        <v>1.391604258</v>
      </c>
      <c r="E63" s="34">
        <f t="shared" si="1"/>
        <v>2.643048569</v>
      </c>
      <c r="F63" s="47">
        <f t="shared" si="2"/>
        <v>0.3369514308</v>
      </c>
      <c r="G63" s="47">
        <f t="shared" si="3"/>
        <v>0.1130709499</v>
      </c>
      <c r="H63" s="47">
        <f t="shared" si="4"/>
        <v>0.1130709499</v>
      </c>
      <c r="I63" s="47">
        <f t="shared" si="5"/>
        <v>0.1135362667</v>
      </c>
    </row>
    <row r="64">
      <c r="A64" s="31">
        <v>2.96</v>
      </c>
      <c r="B64" s="32">
        <v>1.446236046</v>
      </c>
      <c r="C64" s="46">
        <v>0.001691223</v>
      </c>
      <c r="D64" s="32">
        <v>1.444544823</v>
      </c>
      <c r="E64" s="34">
        <f t="shared" si="1"/>
        <v>2.949830923</v>
      </c>
      <c r="F64" s="47">
        <f t="shared" si="2"/>
        <v>0.01016907668</v>
      </c>
      <c r="G64" s="47">
        <f t="shared" si="3"/>
        <v>0.003435498879</v>
      </c>
      <c r="H64" s="47">
        <f t="shared" si="4"/>
        <v>0.003435498879</v>
      </c>
      <c r="I64" s="47">
        <f t="shared" si="5"/>
        <v>0.0001034101206</v>
      </c>
    </row>
    <row r="65">
      <c r="A65" s="31">
        <v>2.67</v>
      </c>
      <c r="B65" s="32">
        <v>1.396412825</v>
      </c>
      <c r="C65" s="46">
        <v>-0.044863008</v>
      </c>
      <c r="D65" s="32">
        <v>1.441275833</v>
      </c>
      <c r="E65" s="34">
        <f t="shared" si="1"/>
        <v>2.930240379</v>
      </c>
      <c r="F65" s="47">
        <f t="shared" si="2"/>
        <v>-0.2602403787</v>
      </c>
      <c r="G65" s="47">
        <f t="shared" si="3"/>
        <v>-0.09746830665</v>
      </c>
      <c r="H65" s="47">
        <f t="shared" si="4"/>
        <v>0.09746830665</v>
      </c>
      <c r="I65" s="47">
        <f t="shared" si="5"/>
        <v>0.06772505473</v>
      </c>
    </row>
    <row r="66">
      <c r="A66" s="31">
        <v>2.19</v>
      </c>
      <c r="B66" s="32">
        <v>1.305422215</v>
      </c>
      <c r="C66" s="46">
        <v>-0.084808461</v>
      </c>
      <c r="D66" s="32">
        <v>1.390230677</v>
      </c>
      <c r="E66" s="34">
        <f t="shared" si="1"/>
        <v>2.635382926</v>
      </c>
      <c r="F66" s="47">
        <f t="shared" si="2"/>
        <v>-0.4453829257</v>
      </c>
      <c r="G66" s="47">
        <f t="shared" si="3"/>
        <v>-0.2033711989</v>
      </c>
      <c r="H66" s="47">
        <f t="shared" si="4"/>
        <v>0.2033711989</v>
      </c>
      <c r="I66" s="47">
        <f t="shared" si="5"/>
        <v>0.1983659505</v>
      </c>
    </row>
    <row r="67">
      <c r="A67" s="31">
        <v>1.96</v>
      </c>
      <c r="B67" s="32">
        <v>1.257092005</v>
      </c>
      <c r="C67" s="46">
        <v>-0.039838131</v>
      </c>
      <c r="D67" s="32">
        <v>1.296930135</v>
      </c>
      <c r="E67" s="34">
        <f t="shared" si="1"/>
        <v>2.148362646</v>
      </c>
      <c r="F67" s="47">
        <f t="shared" si="2"/>
        <v>-0.1883626459</v>
      </c>
      <c r="G67" s="47">
        <f t="shared" si="3"/>
        <v>-0.09610339077</v>
      </c>
      <c r="H67" s="47">
        <f t="shared" si="4"/>
        <v>0.09610339077</v>
      </c>
      <c r="I67" s="47">
        <f t="shared" si="5"/>
        <v>0.03548048638</v>
      </c>
    </row>
    <row r="68">
      <c r="A68" s="31">
        <v>1.54</v>
      </c>
      <c r="B68" s="32">
        <v>1.158129289</v>
      </c>
      <c r="C68" s="46">
        <v>-0.089385563</v>
      </c>
      <c r="D68" s="32">
        <v>1.247514853</v>
      </c>
      <c r="E68" s="34">
        <f t="shared" si="1"/>
        <v>1.91640558</v>
      </c>
      <c r="F68" s="47">
        <f t="shared" si="2"/>
        <v>-0.3764055798</v>
      </c>
      <c r="G68" s="47">
        <f t="shared" si="3"/>
        <v>-0.2444192076</v>
      </c>
      <c r="H68" s="47">
        <f t="shared" si="4"/>
        <v>0.2444192076</v>
      </c>
      <c r="I68" s="47">
        <f t="shared" si="5"/>
        <v>0.1416811605</v>
      </c>
    </row>
    <row r="69">
      <c r="A69" s="31">
        <v>1.32</v>
      </c>
      <c r="B69" s="32">
        <v>1.098993532</v>
      </c>
      <c r="C69" s="46">
        <v>-0.047124007</v>
      </c>
      <c r="D69" s="32">
        <v>1.146117539</v>
      </c>
      <c r="E69" s="34">
        <f t="shared" si="1"/>
        <v>1.493493743</v>
      </c>
      <c r="F69" s="47">
        <f t="shared" si="2"/>
        <v>-0.1734937434</v>
      </c>
      <c r="G69" s="47">
        <f t="shared" si="3"/>
        <v>-0.1314346541</v>
      </c>
      <c r="H69" s="47">
        <f t="shared" si="4"/>
        <v>0.1314346541</v>
      </c>
      <c r="I69" s="47">
        <f t="shared" si="5"/>
        <v>0.03010007899</v>
      </c>
    </row>
    <row r="70">
      <c r="A70" s="31">
        <v>1.42</v>
      </c>
      <c r="B70" s="32">
        <v>1.126621506</v>
      </c>
      <c r="C70" s="46">
        <v>0.040923242</v>
      </c>
      <c r="D70" s="32">
        <v>1.085698264</v>
      </c>
      <c r="E70" s="34">
        <f t="shared" si="1"/>
        <v>1.273581941</v>
      </c>
      <c r="F70" s="47">
        <f t="shared" si="2"/>
        <v>0.1464180587</v>
      </c>
      <c r="G70" s="47">
        <f t="shared" si="3"/>
        <v>0.103111309</v>
      </c>
      <c r="H70" s="47">
        <f t="shared" si="4"/>
        <v>0.103111309</v>
      </c>
      <c r="I70" s="47">
        <f t="shared" si="5"/>
        <v>0.02143824792</v>
      </c>
    </row>
    <row r="71">
      <c r="A71" s="31">
        <v>1.44</v>
      </c>
      <c r="B71" s="32">
        <v>1.131991712</v>
      </c>
      <c r="C71" s="46">
        <v>0.017550847</v>
      </c>
      <c r="D71" s="32">
        <v>1.114440865</v>
      </c>
      <c r="E71" s="34">
        <f t="shared" si="1"/>
        <v>1.375317679</v>
      </c>
      <c r="F71" s="47">
        <f t="shared" si="2"/>
        <v>0.06468232137</v>
      </c>
      <c r="G71" s="47">
        <f t="shared" si="3"/>
        <v>0.04491827873</v>
      </c>
      <c r="H71" s="47">
        <f t="shared" si="4"/>
        <v>0.04491827873</v>
      </c>
      <c r="I71" s="47">
        <f t="shared" si="5"/>
        <v>0.004183802698</v>
      </c>
    </row>
    <row r="72">
      <c r="A72" s="31">
        <v>1.59</v>
      </c>
      <c r="B72" s="32">
        <v>1.170779265</v>
      </c>
      <c r="C72" s="46">
        <v>0.05049016</v>
      </c>
      <c r="D72" s="32">
        <v>1.120289105</v>
      </c>
      <c r="E72" s="34">
        <f t="shared" si="1"/>
        <v>1.396653152</v>
      </c>
      <c r="F72" s="47">
        <f t="shared" si="2"/>
        <v>0.1933468478</v>
      </c>
      <c r="G72" s="47">
        <f t="shared" si="3"/>
        <v>0.1216017911</v>
      </c>
      <c r="H72" s="47">
        <f t="shared" si="4"/>
        <v>0.1216017911</v>
      </c>
      <c r="I72" s="47">
        <f t="shared" si="5"/>
        <v>0.03738300355</v>
      </c>
    </row>
    <row r="73">
      <c r="A73" s="31">
        <v>1.68</v>
      </c>
      <c r="B73" s="32">
        <v>1.192903069</v>
      </c>
      <c r="C73" s="46">
        <v>0.032451209</v>
      </c>
      <c r="D73" s="32">
        <v>1.16045186</v>
      </c>
      <c r="E73" s="34">
        <f t="shared" si="1"/>
        <v>1.549101203</v>
      </c>
      <c r="F73" s="47">
        <f t="shared" si="2"/>
        <v>0.1308987975</v>
      </c>
      <c r="G73" s="47">
        <f t="shared" si="3"/>
        <v>0.07791595089</v>
      </c>
      <c r="H73" s="47">
        <f t="shared" si="4"/>
        <v>0.07791595089</v>
      </c>
      <c r="I73" s="47">
        <f t="shared" si="5"/>
        <v>0.01713449519</v>
      </c>
    </row>
    <row r="74">
      <c r="A74" s="31">
        <v>1.55</v>
      </c>
      <c r="B74" s="32">
        <v>1.160680738</v>
      </c>
      <c r="C74" s="46">
        <v>-0.0227788</v>
      </c>
      <c r="D74" s="32">
        <v>1.183459538</v>
      </c>
      <c r="E74" s="34">
        <f t="shared" si="1"/>
        <v>1.641183343</v>
      </c>
      <c r="F74" s="47">
        <f t="shared" si="2"/>
        <v>-0.09118334299</v>
      </c>
      <c r="G74" s="47">
        <f t="shared" si="3"/>
        <v>-0.05882796322</v>
      </c>
      <c r="H74" s="47">
        <f t="shared" si="4"/>
        <v>0.05882796322</v>
      </c>
      <c r="I74" s="47">
        <f t="shared" si="5"/>
        <v>0.008314402038</v>
      </c>
    </row>
    <row r="75">
      <c r="A75" s="31">
        <v>1.38</v>
      </c>
      <c r="B75" s="32">
        <v>1.115729432</v>
      </c>
      <c r="C75" s="46">
        <v>-0.034887349</v>
      </c>
      <c r="D75" s="32">
        <v>1.150616781</v>
      </c>
      <c r="E75" s="34">
        <f t="shared" si="1"/>
        <v>1.510803394</v>
      </c>
      <c r="F75" s="47">
        <f t="shared" si="2"/>
        <v>-0.1308033943</v>
      </c>
      <c r="G75" s="47">
        <f t="shared" si="3"/>
        <v>-0.09478506833</v>
      </c>
      <c r="H75" s="47">
        <f t="shared" si="4"/>
        <v>0.09478506833</v>
      </c>
      <c r="I75" s="47">
        <f t="shared" si="5"/>
        <v>0.01710952796</v>
      </c>
    </row>
    <row r="76">
      <c r="A76" s="31">
        <v>1.37</v>
      </c>
      <c r="B76" s="32">
        <v>1.112973933</v>
      </c>
      <c r="C76" s="46">
        <v>0.008258687</v>
      </c>
      <c r="D76" s="32">
        <v>1.104715246</v>
      </c>
      <c r="E76" s="34">
        <f t="shared" si="1"/>
        <v>1.340315083</v>
      </c>
      <c r="F76" s="47">
        <f t="shared" si="2"/>
        <v>0.0296849168</v>
      </c>
      <c r="G76" s="47">
        <f t="shared" si="3"/>
        <v>0.02166782248</v>
      </c>
      <c r="H76" s="47">
        <f t="shared" si="4"/>
        <v>0.02166782248</v>
      </c>
      <c r="I76" s="47">
        <f t="shared" si="5"/>
        <v>0.0008811942855</v>
      </c>
    </row>
    <row r="77">
      <c r="A77" s="31">
        <v>1.42</v>
      </c>
      <c r="B77" s="32">
        <v>1.126621506</v>
      </c>
      <c r="C77" s="46">
        <v>0.024436816</v>
      </c>
      <c r="D77" s="32">
        <v>1.10218469</v>
      </c>
      <c r="E77" s="34">
        <f t="shared" si="1"/>
        <v>1.331305024</v>
      </c>
      <c r="F77" s="47">
        <f t="shared" si="2"/>
        <v>0.08869497592</v>
      </c>
      <c r="G77" s="47">
        <f t="shared" si="3"/>
        <v>0.06246125065</v>
      </c>
      <c r="H77" s="47">
        <f t="shared" si="4"/>
        <v>0.06246125065</v>
      </c>
      <c r="I77" s="47">
        <f t="shared" si="5"/>
        <v>0.007866798754</v>
      </c>
    </row>
    <row r="78">
      <c r="A78" s="31">
        <v>1.68</v>
      </c>
      <c r="B78" s="32">
        <v>1.192903069</v>
      </c>
      <c r="C78" s="46">
        <v>0.07640522</v>
      </c>
      <c r="D78" s="32">
        <v>1.116497849</v>
      </c>
      <c r="E78" s="34">
        <f t="shared" si="1"/>
        <v>1.382797234</v>
      </c>
      <c r="F78" s="47">
        <f t="shared" si="2"/>
        <v>0.2972027662</v>
      </c>
      <c r="G78" s="47">
        <f t="shared" si="3"/>
        <v>0.1769064084</v>
      </c>
      <c r="H78" s="47">
        <f t="shared" si="4"/>
        <v>0.1769064084</v>
      </c>
      <c r="I78" s="47">
        <f t="shared" si="5"/>
        <v>0.08832948422</v>
      </c>
    </row>
    <row r="79">
      <c r="A79" s="31">
        <v>1.33</v>
      </c>
      <c r="B79" s="32">
        <v>1.101817226</v>
      </c>
      <c r="C79" s="46">
        <v>-0.083043238</v>
      </c>
      <c r="D79" s="32">
        <v>1.184860464</v>
      </c>
      <c r="E79" s="34">
        <f t="shared" si="1"/>
        <v>1.646903907</v>
      </c>
      <c r="F79" s="47">
        <f t="shared" si="2"/>
        <v>-0.3169039069</v>
      </c>
      <c r="G79" s="47">
        <f t="shared" si="3"/>
        <v>-0.2382736142</v>
      </c>
      <c r="H79" s="47">
        <f t="shared" si="4"/>
        <v>0.2382736142</v>
      </c>
      <c r="I79" s="47">
        <f t="shared" si="5"/>
        <v>0.1004280862</v>
      </c>
    </row>
    <row r="80">
      <c r="A80" s="31">
        <v>1.52</v>
      </c>
      <c r="B80" s="32">
        <v>1.152993396</v>
      </c>
      <c r="C80" s="46">
        <v>0.061480627</v>
      </c>
      <c r="D80" s="32">
        <v>1.091512769</v>
      </c>
      <c r="E80" s="34">
        <f t="shared" si="1"/>
        <v>1.293747348</v>
      </c>
      <c r="F80" s="47">
        <f t="shared" si="2"/>
        <v>0.2262526522</v>
      </c>
      <c r="G80" s="47">
        <f t="shared" si="3"/>
        <v>0.1488504291</v>
      </c>
      <c r="H80" s="47">
        <f t="shared" si="4"/>
        <v>0.1488504291</v>
      </c>
      <c r="I80" s="47">
        <f t="shared" si="5"/>
        <v>0.05119026264</v>
      </c>
    </row>
    <row r="81">
      <c r="A81" s="31">
        <v>1.59</v>
      </c>
      <c r="B81" s="32">
        <v>1.170779265</v>
      </c>
      <c r="C81" s="46">
        <v>0.026415775</v>
      </c>
      <c r="D81" s="32">
        <v>1.14436349</v>
      </c>
      <c r="E81" s="34">
        <f t="shared" si="1"/>
        <v>1.486781128</v>
      </c>
      <c r="F81" s="47">
        <f t="shared" si="2"/>
        <v>0.1032188722</v>
      </c>
      <c r="G81" s="47">
        <f t="shared" si="3"/>
        <v>0.06491752969</v>
      </c>
      <c r="H81" s="47">
        <f t="shared" si="4"/>
        <v>0.06491752969</v>
      </c>
      <c r="I81" s="47">
        <f t="shared" si="5"/>
        <v>0.01065413558</v>
      </c>
    </row>
    <row r="82">
      <c r="A82" s="29">
        <v>1.6</v>
      </c>
      <c r="B82" s="36">
        <f t="shared" ref="B82:B93" si="6">A82^0.34</f>
        <v>1.17327764</v>
      </c>
      <c r="C82" s="37">
        <f t="shared" ref="C82:C93" si="7">B82-D82</f>
        <v>0.01040977196</v>
      </c>
      <c r="D82" s="37">
        <f t="shared" ref="D82:D94" si="8">(2*B81)-B80-($L$1*C81)</f>
        <v>1.162867868</v>
      </c>
      <c r="E82" s="38">
        <f t="shared" si="1"/>
        <v>1.558606143</v>
      </c>
      <c r="F82" s="48">
        <f t="shared" si="2"/>
        <v>0.04139385701</v>
      </c>
      <c r="G82" s="48">
        <f t="shared" si="3"/>
        <v>0.02587116063</v>
      </c>
      <c r="H82" s="48">
        <f t="shared" si="4"/>
        <v>0.02587116063</v>
      </c>
      <c r="I82" s="48">
        <f t="shared" si="5"/>
        <v>0.001713451398</v>
      </c>
    </row>
    <row r="83">
      <c r="A83" s="29">
        <v>1.66</v>
      </c>
      <c r="B83" s="36">
        <f t="shared" si="6"/>
        <v>1.188055557</v>
      </c>
      <c r="C83" s="37">
        <f t="shared" si="7"/>
        <v>0.02240616785</v>
      </c>
      <c r="D83" s="37">
        <f t="shared" si="8"/>
        <v>1.165649389</v>
      </c>
      <c r="E83" s="38">
        <f t="shared" si="1"/>
        <v>1.569596638</v>
      </c>
      <c r="F83" s="48">
        <f t="shared" si="2"/>
        <v>0.09040336189</v>
      </c>
      <c r="G83" s="48">
        <f t="shared" si="3"/>
        <v>0.05445985656</v>
      </c>
      <c r="H83" s="48">
        <f t="shared" si="4"/>
        <v>0.05445985656</v>
      </c>
      <c r="I83" s="48">
        <f t="shared" si="5"/>
        <v>0.008172767841</v>
      </c>
    </row>
    <row r="84">
      <c r="A84" s="29">
        <v>1.75</v>
      </c>
      <c r="B84" s="36">
        <f t="shared" si="6"/>
        <v>1.209575375</v>
      </c>
      <c r="C84" s="37">
        <f t="shared" si="7"/>
        <v>0.02853862114</v>
      </c>
      <c r="D84" s="37">
        <f t="shared" si="8"/>
        <v>1.181036753</v>
      </c>
      <c r="E84" s="38">
        <f t="shared" si="1"/>
        <v>1.631321086</v>
      </c>
      <c r="F84" s="48">
        <f t="shared" si="2"/>
        <v>0.1186789143</v>
      </c>
      <c r="G84" s="48">
        <f t="shared" si="3"/>
        <v>0.06781652245</v>
      </c>
      <c r="H84" s="48">
        <f t="shared" si="4"/>
        <v>0.06781652245</v>
      </c>
      <c r="I84" s="48">
        <f t="shared" si="5"/>
        <v>0.0140846847</v>
      </c>
    </row>
    <row r="85">
      <c r="A85" s="29">
        <v>1.87</v>
      </c>
      <c r="B85" s="36">
        <f t="shared" si="6"/>
        <v>1.237160787</v>
      </c>
      <c r="C85" s="37">
        <f t="shared" si="7"/>
        <v>0.03382796546</v>
      </c>
      <c r="D85" s="37">
        <f t="shared" si="8"/>
        <v>1.203332822</v>
      </c>
      <c r="E85" s="38">
        <f t="shared" si="1"/>
        <v>1.723569155</v>
      </c>
      <c r="F85" s="48">
        <f t="shared" si="2"/>
        <v>0.1464308451</v>
      </c>
      <c r="G85" s="48">
        <f t="shared" si="3"/>
        <v>0.07830526476</v>
      </c>
      <c r="H85" s="48">
        <f t="shared" si="4"/>
        <v>0.07830526476</v>
      </c>
      <c r="I85" s="48">
        <f t="shared" si="5"/>
        <v>0.0214419924</v>
      </c>
    </row>
    <row r="86">
      <c r="A86" s="29">
        <v>2.18</v>
      </c>
      <c r="B86" s="36">
        <f t="shared" si="6"/>
        <v>1.303392471</v>
      </c>
      <c r="C86" s="37">
        <f t="shared" si="7"/>
        <v>0.07155411558</v>
      </c>
      <c r="D86" s="37">
        <f t="shared" si="8"/>
        <v>1.231838355</v>
      </c>
      <c r="E86" s="38">
        <f t="shared" si="1"/>
        <v>1.846436928</v>
      </c>
      <c r="F86" s="48">
        <f t="shared" si="2"/>
        <v>0.3335630716</v>
      </c>
      <c r="G86" s="48">
        <f t="shared" si="3"/>
        <v>0.1530105833</v>
      </c>
      <c r="H86" s="48">
        <f t="shared" si="4"/>
        <v>0.1530105833</v>
      </c>
      <c r="I86" s="48">
        <f t="shared" si="5"/>
        <v>0.1112643227</v>
      </c>
    </row>
    <row r="87">
      <c r="A87" s="29">
        <v>2.06</v>
      </c>
      <c r="B87" s="36">
        <f t="shared" si="6"/>
        <v>1.278541575</v>
      </c>
      <c r="C87" s="37">
        <f t="shared" si="7"/>
        <v>-0.02147473482</v>
      </c>
      <c r="D87" s="37">
        <f t="shared" si="8"/>
        <v>1.30001631</v>
      </c>
      <c r="E87" s="38">
        <f t="shared" si="1"/>
        <v>2.163433412</v>
      </c>
      <c r="F87" s="48">
        <f t="shared" si="2"/>
        <v>-0.1034334118</v>
      </c>
      <c r="G87" s="48">
        <f t="shared" si="3"/>
        <v>-0.05021039409</v>
      </c>
      <c r="H87" s="48">
        <f t="shared" si="4"/>
        <v>0.05021039409</v>
      </c>
      <c r="I87" s="48">
        <f t="shared" si="5"/>
        <v>0.01069847068</v>
      </c>
    </row>
    <row r="88">
      <c r="A88" s="29">
        <v>2.64</v>
      </c>
      <c r="B88" s="36">
        <f t="shared" si="6"/>
        <v>1.39105831</v>
      </c>
      <c r="C88" s="37">
        <f t="shared" si="7"/>
        <v>0.116477008</v>
      </c>
      <c r="D88" s="37">
        <f t="shared" si="8"/>
        <v>1.274581302</v>
      </c>
      <c r="E88" s="38">
        <f t="shared" si="1"/>
        <v>2.041289206</v>
      </c>
      <c r="F88" s="48">
        <f t="shared" si="2"/>
        <v>0.5987107944</v>
      </c>
      <c r="G88" s="48">
        <f t="shared" si="3"/>
        <v>0.2267843918</v>
      </c>
      <c r="H88" s="48">
        <f t="shared" si="4"/>
        <v>0.2267843918</v>
      </c>
      <c r="I88" s="48">
        <f t="shared" si="5"/>
        <v>0.3584546153</v>
      </c>
    </row>
    <row r="89">
      <c r="A89" s="29">
        <v>3.47</v>
      </c>
      <c r="B89" s="36">
        <f t="shared" si="6"/>
        <v>1.526553472</v>
      </c>
      <c r="C89" s="37">
        <f t="shared" si="7"/>
        <v>0.1362872604</v>
      </c>
      <c r="D89" s="37">
        <f t="shared" si="8"/>
        <v>1.390266212</v>
      </c>
      <c r="E89" s="38">
        <f t="shared" si="1"/>
        <v>2.635581053</v>
      </c>
      <c r="F89" s="48">
        <f t="shared" si="2"/>
        <v>0.8344189469</v>
      </c>
      <c r="G89" s="48">
        <f t="shared" si="3"/>
        <v>0.2404665553</v>
      </c>
      <c r="H89" s="48">
        <f t="shared" si="4"/>
        <v>0.2404665553</v>
      </c>
      <c r="I89" s="48">
        <f t="shared" si="5"/>
        <v>0.6962549789</v>
      </c>
    </row>
    <row r="90">
      <c r="A90" s="29">
        <v>3.55</v>
      </c>
      <c r="B90" s="36">
        <f t="shared" si="6"/>
        <v>1.538429645</v>
      </c>
      <c r="C90" s="37">
        <f t="shared" si="7"/>
        <v>0.008961257707</v>
      </c>
      <c r="D90" s="37">
        <f t="shared" si="8"/>
        <v>1.529468387</v>
      </c>
      <c r="E90" s="38">
        <f t="shared" si="1"/>
        <v>3.489524012</v>
      </c>
      <c r="F90" s="48">
        <f t="shared" si="2"/>
        <v>0.06047598828</v>
      </c>
      <c r="G90" s="48">
        <f t="shared" si="3"/>
        <v>0.01703548966</v>
      </c>
      <c r="H90" s="48">
        <f t="shared" si="4"/>
        <v>0.01703548966</v>
      </c>
      <c r="I90" s="48">
        <f t="shared" si="5"/>
        <v>0.003657345159</v>
      </c>
    </row>
    <row r="91">
      <c r="A91" s="29">
        <v>4.35</v>
      </c>
      <c r="B91" s="36">
        <f t="shared" si="6"/>
        <v>1.648490115</v>
      </c>
      <c r="C91" s="37">
        <f t="shared" si="7"/>
        <v>0.1069018089</v>
      </c>
      <c r="D91" s="37">
        <f t="shared" si="8"/>
        <v>1.541588306</v>
      </c>
      <c r="E91" s="38">
        <f t="shared" si="1"/>
        <v>3.571480283</v>
      </c>
      <c r="F91" s="48">
        <f t="shared" si="2"/>
        <v>0.7785197169</v>
      </c>
      <c r="G91" s="48">
        <f t="shared" si="3"/>
        <v>0.1789700499</v>
      </c>
      <c r="H91" s="48">
        <f t="shared" si="4"/>
        <v>0.1789700499</v>
      </c>
      <c r="I91" s="48">
        <f t="shared" si="5"/>
        <v>0.6060929496</v>
      </c>
    </row>
    <row r="92">
      <c r="A92" s="29">
        <v>4.94</v>
      </c>
      <c r="B92" s="36">
        <f t="shared" si="6"/>
        <v>1.721341989</v>
      </c>
      <c r="C92" s="37">
        <f t="shared" si="7"/>
        <v>0.06678548295</v>
      </c>
      <c r="D92" s="37">
        <f t="shared" si="8"/>
        <v>1.654556506</v>
      </c>
      <c r="E92" s="38">
        <f t="shared" si="1"/>
        <v>4.397250299</v>
      </c>
      <c r="F92" s="48">
        <f t="shared" si="2"/>
        <v>0.5427497013</v>
      </c>
      <c r="G92" s="48">
        <f t="shared" si="3"/>
        <v>0.1098683606</v>
      </c>
      <c r="H92" s="48">
        <f t="shared" si="4"/>
        <v>0.1098683606</v>
      </c>
      <c r="I92" s="48">
        <f t="shared" si="5"/>
        <v>0.2945772383</v>
      </c>
    </row>
    <row r="93">
      <c r="A93" s="29">
        <v>4.69</v>
      </c>
      <c r="B93" s="36">
        <f t="shared" si="6"/>
        <v>1.691214784</v>
      </c>
      <c r="C93" s="37">
        <f t="shared" si="7"/>
        <v>-0.03801015996</v>
      </c>
      <c r="D93" s="37">
        <f t="shared" si="8"/>
        <v>1.729224944</v>
      </c>
      <c r="E93" s="38">
        <f t="shared" si="1"/>
        <v>5.006834208</v>
      </c>
      <c r="F93" s="48">
        <f t="shared" si="2"/>
        <v>-0.3168342081</v>
      </c>
      <c r="G93" s="48">
        <f t="shared" si="3"/>
        <v>-0.06755526825</v>
      </c>
      <c r="H93" s="48">
        <f t="shared" si="4"/>
        <v>0.06755526825</v>
      </c>
      <c r="I93" s="48">
        <f t="shared" si="5"/>
        <v>0.1003839154</v>
      </c>
    </row>
    <row r="94">
      <c r="D94" s="49">
        <f t="shared" si="8"/>
        <v>1.698063864</v>
      </c>
      <c r="E94" s="50">
        <f t="shared" si="1"/>
        <v>4.746083259</v>
      </c>
    </row>
    <row r="96">
      <c r="C96" s="40" t="s">
        <v>39</v>
      </c>
      <c r="D96" s="41"/>
      <c r="F96" s="40" t="s">
        <v>10</v>
      </c>
      <c r="G96" s="41"/>
    </row>
    <row r="97">
      <c r="C97" s="42" t="s">
        <v>40</v>
      </c>
      <c r="D97" s="43">
        <f>AVERAGE(H4:H81)*100</f>
        <v>8.497569272</v>
      </c>
      <c r="F97" s="42" t="s">
        <v>40</v>
      </c>
      <c r="G97" s="43">
        <f>AVERAGE(H82:H93)*100</f>
        <v>10.58628248</v>
      </c>
    </row>
    <row r="98">
      <c r="C98" s="42" t="s">
        <v>41</v>
      </c>
      <c r="D98" s="43">
        <f>SUM(H3:H81)/12</f>
        <v>0.5523420027</v>
      </c>
      <c r="F98" s="42" t="s">
        <v>41</v>
      </c>
      <c r="G98" s="43">
        <f>SUM(H82:H93)/12</f>
        <v>0.1058628248</v>
      </c>
    </row>
    <row r="99">
      <c r="C99" s="42" t="s">
        <v>42</v>
      </c>
      <c r="D99" s="43">
        <f>SQRT(D98)</f>
        <v>0.7431971493</v>
      </c>
      <c r="F99" s="42" t="s">
        <v>42</v>
      </c>
      <c r="G99" s="43">
        <f>SQRT(G98)</f>
        <v>0.3253656785</v>
      </c>
    </row>
    <row r="100">
      <c r="C100" s="42" t="s">
        <v>43</v>
      </c>
      <c r="D100" s="44">
        <f>SUM(F4:F81)/12</f>
        <v>-0.06879552771</v>
      </c>
      <c r="F100" s="42" t="s">
        <v>43</v>
      </c>
      <c r="G100" s="44">
        <f>SUM(F82:F93)/12</f>
        <v>0.2604231315</v>
      </c>
    </row>
    <row r="101">
      <c r="C101" s="42" t="s">
        <v>44</v>
      </c>
      <c r="D101" s="44">
        <f>(SUM(G4:G81)/12)*100</f>
        <v>-4.333803926</v>
      </c>
      <c r="F101" s="42" t="s">
        <v>44</v>
      </c>
      <c r="G101" s="44">
        <f>(SUM(G82:G93)/12)*100</f>
        <v>8.623521438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4.57"/>
    <col customWidth="1" min="5" max="5" width="16.14"/>
    <col customWidth="1" min="10" max="10" width="26.29"/>
  </cols>
  <sheetData>
    <row r="1">
      <c r="A1" s="28" t="s">
        <v>31</v>
      </c>
      <c r="B1" s="28" t="s">
        <v>6</v>
      </c>
      <c r="C1" s="29" t="s">
        <v>51</v>
      </c>
      <c r="D1" s="29" t="s">
        <v>52</v>
      </c>
      <c r="E1" s="29" t="s">
        <v>33</v>
      </c>
      <c r="F1" s="29" t="s">
        <v>34</v>
      </c>
      <c r="G1" s="29" t="s">
        <v>35</v>
      </c>
      <c r="H1" s="29" t="s">
        <v>36</v>
      </c>
      <c r="I1" s="30" t="s">
        <v>37</v>
      </c>
      <c r="K1" s="45" t="s">
        <v>48</v>
      </c>
      <c r="L1" s="45">
        <v>0.7188</v>
      </c>
      <c r="M1" s="35"/>
      <c r="N1" s="35"/>
      <c r="O1" s="35"/>
    </row>
    <row r="2">
      <c r="A2" s="31">
        <v>6.96</v>
      </c>
      <c r="B2" s="32">
        <v>1.934136592</v>
      </c>
      <c r="C2" s="46" t="s">
        <v>13</v>
      </c>
      <c r="D2" s="46" t="s">
        <v>13</v>
      </c>
      <c r="E2" s="46" t="s">
        <v>13</v>
      </c>
      <c r="F2" s="46" t="s">
        <v>13</v>
      </c>
      <c r="G2" s="46" t="s">
        <v>13</v>
      </c>
      <c r="H2" s="46" t="s">
        <v>13</v>
      </c>
      <c r="I2" s="46" t="s">
        <v>13</v>
      </c>
      <c r="K2" s="45" t="s">
        <v>53</v>
      </c>
      <c r="L2" s="45">
        <v>0.245</v>
      </c>
      <c r="M2" s="35"/>
      <c r="N2" s="35"/>
      <c r="O2" s="35"/>
    </row>
    <row r="3">
      <c r="A3" s="31">
        <v>6.29</v>
      </c>
      <c r="B3" s="32">
        <v>1.86870703</v>
      </c>
      <c r="C3" s="46" t="s">
        <v>13</v>
      </c>
      <c r="D3" s="46" t="s">
        <v>13</v>
      </c>
      <c r="E3" s="46" t="s">
        <v>13</v>
      </c>
      <c r="F3" s="46" t="s">
        <v>13</v>
      </c>
      <c r="G3" s="46" t="s">
        <v>13</v>
      </c>
      <c r="H3" s="46" t="s">
        <v>13</v>
      </c>
      <c r="I3" s="46" t="s">
        <v>13</v>
      </c>
      <c r="K3" s="35"/>
      <c r="L3" s="35"/>
      <c r="M3" s="35"/>
      <c r="N3" s="35"/>
      <c r="O3" s="35"/>
    </row>
    <row r="4">
      <c r="A4" s="31">
        <v>6.38</v>
      </c>
      <c r="B4" s="32">
        <v>1.877755448</v>
      </c>
      <c r="C4" s="46">
        <v>0.041766159</v>
      </c>
      <c r="D4" s="32">
        <v>1.83598929</v>
      </c>
      <c r="E4" s="51">
        <f t="shared" ref="E4:E94" si="1">D4^(1/0.34)</f>
        <v>5.971571784</v>
      </c>
      <c r="F4" s="52">
        <f t="shared" ref="F4:F93" si="2">A4-E4</f>
        <v>0.4084282164</v>
      </c>
      <c r="G4" s="53">
        <f t="shared" ref="G4:G93" si="3">F4/A4</f>
        <v>0.06401696182</v>
      </c>
      <c r="H4" s="53">
        <f t="shared" ref="H4:H93" si="4">ABS(F4)/A4</f>
        <v>0.06401696182</v>
      </c>
      <c r="I4" s="53">
        <f t="shared" ref="I4:I93" si="5">F4^2</f>
        <v>0.166813608</v>
      </c>
      <c r="K4" s="35" t="s">
        <v>54</v>
      </c>
    </row>
    <row r="5">
      <c r="A5" s="31">
        <v>6.79</v>
      </c>
      <c r="B5" s="32">
        <v>1.91794312</v>
      </c>
      <c r="C5" s="46">
        <v>0.051060402</v>
      </c>
      <c r="D5" s="32">
        <v>1.866882718</v>
      </c>
      <c r="E5" s="51">
        <f t="shared" si="1"/>
        <v>6.271956611</v>
      </c>
      <c r="F5" s="52">
        <f t="shared" si="2"/>
        <v>0.5180433887</v>
      </c>
      <c r="G5" s="53">
        <f t="shared" si="3"/>
        <v>0.07629504989</v>
      </c>
      <c r="H5" s="53">
        <f t="shared" si="4"/>
        <v>0.07629504989</v>
      </c>
      <c r="I5" s="53">
        <f t="shared" si="5"/>
        <v>0.2683689526</v>
      </c>
    </row>
    <row r="6">
      <c r="A6" s="31">
        <v>7.15</v>
      </c>
      <c r="B6" s="32">
        <v>1.95192917</v>
      </c>
      <c r="C6" s="46">
        <v>0.040718651</v>
      </c>
      <c r="D6" s="32">
        <v>1.911210519</v>
      </c>
      <c r="E6" s="51">
        <f t="shared" si="1"/>
        <v>6.720135357</v>
      </c>
      <c r="F6" s="52">
        <f t="shared" si="2"/>
        <v>0.4298646431</v>
      </c>
      <c r="G6" s="53">
        <f t="shared" si="3"/>
        <v>0.06012092911</v>
      </c>
      <c r="H6" s="53">
        <f t="shared" si="4"/>
        <v>0.06012092911</v>
      </c>
      <c r="I6" s="53">
        <f t="shared" si="5"/>
        <v>0.1847836114</v>
      </c>
    </row>
    <row r="7">
      <c r="A7" s="31">
        <v>7.26</v>
      </c>
      <c r="B7" s="32">
        <v>1.962087862</v>
      </c>
      <c r="C7" s="46">
        <v>0.01793271</v>
      </c>
      <c r="D7" s="32">
        <v>1.944155151</v>
      </c>
      <c r="E7" s="51">
        <f t="shared" si="1"/>
        <v>7.066568761</v>
      </c>
      <c r="F7" s="52">
        <f t="shared" si="2"/>
        <v>0.1934312389</v>
      </c>
      <c r="G7" s="53">
        <f t="shared" si="3"/>
        <v>0.02664342134</v>
      </c>
      <c r="H7" s="53">
        <f t="shared" si="4"/>
        <v>0.02664342134</v>
      </c>
      <c r="I7" s="53">
        <f t="shared" si="5"/>
        <v>0.03741564419</v>
      </c>
    </row>
    <row r="8">
      <c r="A8" s="31">
        <v>7.26</v>
      </c>
      <c r="B8" s="32">
        <v>1.962087862</v>
      </c>
      <c r="C8" s="46">
        <v>0.012692562</v>
      </c>
      <c r="D8" s="32">
        <v>1.9493953</v>
      </c>
      <c r="E8" s="51">
        <f t="shared" si="1"/>
        <v>7.122735344</v>
      </c>
      <c r="F8" s="52">
        <f t="shared" si="2"/>
        <v>0.137264656</v>
      </c>
      <c r="G8" s="53">
        <f t="shared" si="3"/>
        <v>0.01890697741</v>
      </c>
      <c r="H8" s="53">
        <f t="shared" si="4"/>
        <v>0.01890697741</v>
      </c>
      <c r="I8" s="53">
        <f t="shared" si="5"/>
        <v>0.01884158578</v>
      </c>
      <c r="K8" s="35" t="s">
        <v>50</v>
      </c>
      <c r="L8" s="35"/>
      <c r="M8" s="35"/>
      <c r="N8" s="35"/>
      <c r="O8" s="35"/>
    </row>
    <row r="9">
      <c r="A9" s="31">
        <v>7.18</v>
      </c>
      <c r="B9" s="32">
        <v>1.954709893</v>
      </c>
      <c r="C9" s="46">
        <v>0.006132505</v>
      </c>
      <c r="D9" s="32">
        <v>1.948577389</v>
      </c>
      <c r="E9" s="51">
        <f t="shared" si="1"/>
        <v>7.113949224</v>
      </c>
      <c r="F9" s="52">
        <f t="shared" si="2"/>
        <v>0.06605077647</v>
      </c>
      <c r="G9" s="53">
        <f t="shared" si="3"/>
        <v>0.009199272489</v>
      </c>
      <c r="H9" s="53">
        <f t="shared" si="4"/>
        <v>0.009199272489</v>
      </c>
      <c r="I9" s="53">
        <f t="shared" si="5"/>
        <v>0.004362705072</v>
      </c>
      <c r="K9" s="35"/>
      <c r="L9" s="35"/>
      <c r="M9" s="35"/>
      <c r="N9" s="35"/>
      <c r="O9" s="35"/>
    </row>
    <row r="10">
      <c r="A10" s="31">
        <v>6.83</v>
      </c>
      <c r="B10" s="32">
        <v>1.921777212</v>
      </c>
      <c r="C10" s="46">
        <v>-0.01804161</v>
      </c>
      <c r="D10" s="32">
        <v>1.939818822</v>
      </c>
      <c r="E10" s="51">
        <f t="shared" si="1"/>
        <v>7.020311444</v>
      </c>
      <c r="F10" s="52">
        <f t="shared" si="2"/>
        <v>-0.1903114442</v>
      </c>
      <c r="G10" s="53">
        <f t="shared" si="3"/>
        <v>-0.02786404747</v>
      </c>
      <c r="H10" s="53">
        <f t="shared" si="4"/>
        <v>0.02786404747</v>
      </c>
      <c r="I10" s="53">
        <f t="shared" si="5"/>
        <v>0.03621844581</v>
      </c>
      <c r="K10" s="35"/>
      <c r="L10" s="35"/>
      <c r="M10" s="35"/>
      <c r="N10" s="35"/>
      <c r="O10" s="35"/>
    </row>
    <row r="11">
      <c r="A11" s="31">
        <v>6.25</v>
      </c>
      <c r="B11" s="32">
        <v>1.864658073</v>
      </c>
      <c r="C11" s="46">
        <v>-0.035654905</v>
      </c>
      <c r="D11" s="32">
        <v>1.900312978</v>
      </c>
      <c r="E11" s="51">
        <f t="shared" si="1"/>
        <v>6.608059192</v>
      </c>
      <c r="F11" s="52">
        <f t="shared" si="2"/>
        <v>-0.3580591915</v>
      </c>
      <c r="G11" s="53">
        <f t="shared" si="3"/>
        <v>-0.05728947065</v>
      </c>
      <c r="H11" s="53">
        <f t="shared" si="4"/>
        <v>0.05728947065</v>
      </c>
      <c r="I11" s="53">
        <f t="shared" si="5"/>
        <v>0.1282063846</v>
      </c>
    </row>
    <row r="12">
      <c r="A12" s="31">
        <v>4.89</v>
      </c>
      <c r="B12" s="32">
        <v>1.715398445</v>
      </c>
      <c r="C12" s="46">
        <v>-0.122183341</v>
      </c>
      <c r="D12" s="32">
        <v>1.837581786</v>
      </c>
      <c r="E12" s="51">
        <f t="shared" si="1"/>
        <v>5.986818752</v>
      </c>
      <c r="F12" s="52">
        <f t="shared" si="2"/>
        <v>-1.096818752</v>
      </c>
      <c r="G12" s="53">
        <f t="shared" si="3"/>
        <v>-0.2242983134</v>
      </c>
      <c r="H12" s="53">
        <f t="shared" si="4"/>
        <v>0.2242983134</v>
      </c>
      <c r="I12" s="53">
        <f t="shared" si="5"/>
        <v>1.203011375</v>
      </c>
    </row>
    <row r="13">
      <c r="A13" s="31">
        <v>3.35</v>
      </c>
      <c r="B13" s="32">
        <v>1.508395522</v>
      </c>
      <c r="C13" s="46">
        <v>-0.154293012</v>
      </c>
      <c r="D13" s="32">
        <v>1.662688533</v>
      </c>
      <c r="E13" s="51">
        <f t="shared" si="1"/>
        <v>4.461119207</v>
      </c>
      <c r="F13" s="52">
        <f t="shared" si="2"/>
        <v>-1.111119207</v>
      </c>
      <c r="G13" s="53">
        <f t="shared" si="3"/>
        <v>-0.3316773751</v>
      </c>
      <c r="H13" s="53">
        <f t="shared" si="4"/>
        <v>0.3316773751</v>
      </c>
      <c r="I13" s="53">
        <f t="shared" si="5"/>
        <v>1.234585891</v>
      </c>
    </row>
    <row r="14">
      <c r="A14" s="31">
        <v>4.14</v>
      </c>
      <c r="B14" s="32">
        <v>1.62098918</v>
      </c>
      <c r="C14" s="46">
        <v>0.178798625</v>
      </c>
      <c r="D14" s="32">
        <v>1.442190555</v>
      </c>
      <c r="E14" s="51">
        <f t="shared" si="1"/>
        <v>2.935713485</v>
      </c>
      <c r="F14" s="52">
        <f t="shared" si="2"/>
        <v>1.204286515</v>
      </c>
      <c r="G14" s="53">
        <f t="shared" si="3"/>
        <v>0.2908904627</v>
      </c>
      <c r="H14" s="53">
        <f t="shared" si="4"/>
        <v>0.2908904627</v>
      </c>
      <c r="I14" s="53">
        <f t="shared" si="5"/>
        <v>1.450306011</v>
      </c>
    </row>
    <row r="15">
      <c r="A15" s="31">
        <v>4.42</v>
      </c>
      <c r="B15" s="32">
        <v>1.657461967</v>
      </c>
      <c r="C15" s="46">
        <v>0.014658413</v>
      </c>
      <c r="D15" s="32">
        <v>1.642803553</v>
      </c>
      <c r="E15" s="51">
        <f t="shared" si="1"/>
        <v>4.306013554</v>
      </c>
      <c r="F15" s="52">
        <f t="shared" si="2"/>
        <v>0.1139864458</v>
      </c>
      <c r="G15" s="53">
        <f t="shared" si="3"/>
        <v>0.02578878865</v>
      </c>
      <c r="H15" s="53">
        <f t="shared" si="4"/>
        <v>0.02578878865</v>
      </c>
      <c r="I15" s="53">
        <f t="shared" si="5"/>
        <v>0.01299290984</v>
      </c>
    </row>
    <row r="16">
      <c r="A16" s="31">
        <v>4.45</v>
      </c>
      <c r="B16" s="32">
        <v>1.661278344</v>
      </c>
      <c r="C16" s="46">
        <v>0.021619391</v>
      </c>
      <c r="D16" s="32">
        <v>1.639658953</v>
      </c>
      <c r="E16" s="51">
        <f t="shared" si="1"/>
        <v>4.281816131</v>
      </c>
      <c r="F16" s="52">
        <f t="shared" si="2"/>
        <v>0.1681838693</v>
      </c>
      <c r="G16" s="53">
        <f t="shared" si="3"/>
        <v>0.03779412794</v>
      </c>
      <c r="H16" s="53">
        <f t="shared" si="4"/>
        <v>0.03779412794</v>
      </c>
      <c r="I16" s="53">
        <f t="shared" si="5"/>
        <v>0.02828581391</v>
      </c>
    </row>
    <row r="17">
      <c r="A17" s="31">
        <v>3.6</v>
      </c>
      <c r="B17" s="32">
        <v>1.545762796</v>
      </c>
      <c r="C17" s="46">
        <v>-0.100205673</v>
      </c>
      <c r="D17" s="32">
        <v>1.645968469</v>
      </c>
      <c r="E17" s="51">
        <f t="shared" si="1"/>
        <v>4.330458261</v>
      </c>
      <c r="F17" s="52">
        <f t="shared" si="2"/>
        <v>-0.7304582611</v>
      </c>
      <c r="G17" s="53">
        <f t="shared" si="3"/>
        <v>-0.2029050725</v>
      </c>
      <c r="H17" s="53">
        <f t="shared" si="4"/>
        <v>0.2029050725</v>
      </c>
      <c r="I17" s="53">
        <f t="shared" si="5"/>
        <v>0.5335692713</v>
      </c>
      <c r="K17" s="35" t="s">
        <v>15</v>
      </c>
    </row>
    <row r="18">
      <c r="A18" s="31">
        <v>3.33</v>
      </c>
      <c r="B18" s="32">
        <v>1.505327652</v>
      </c>
      <c r="C18" s="46">
        <v>0.008339496</v>
      </c>
      <c r="D18" s="32">
        <v>1.496988156</v>
      </c>
      <c r="E18" s="51">
        <f t="shared" si="1"/>
        <v>3.276031962</v>
      </c>
      <c r="F18" s="52">
        <f t="shared" si="2"/>
        <v>0.05396803817</v>
      </c>
      <c r="G18" s="53">
        <f t="shared" si="3"/>
        <v>0.01620661807</v>
      </c>
      <c r="H18" s="53">
        <f t="shared" si="4"/>
        <v>0.01620661807</v>
      </c>
      <c r="I18" s="53">
        <f t="shared" si="5"/>
        <v>0.002912549144</v>
      </c>
    </row>
    <row r="19">
      <c r="A19" s="31">
        <v>3.45</v>
      </c>
      <c r="B19" s="32">
        <v>1.523556247</v>
      </c>
      <c r="C19" s="46">
        <v>0.040145245</v>
      </c>
      <c r="D19" s="32">
        <v>1.483411002</v>
      </c>
      <c r="E19" s="51">
        <f t="shared" si="1"/>
        <v>3.189409486</v>
      </c>
      <c r="F19" s="52">
        <f t="shared" si="2"/>
        <v>0.2605905145</v>
      </c>
      <c r="G19" s="53">
        <f t="shared" si="3"/>
        <v>0.07553348246</v>
      </c>
      <c r="H19" s="53">
        <f t="shared" si="4"/>
        <v>0.07553348246</v>
      </c>
      <c r="I19" s="53">
        <f t="shared" si="5"/>
        <v>0.06790741623</v>
      </c>
    </row>
    <row r="20">
      <c r="A20" s="31">
        <v>3.21</v>
      </c>
      <c r="B20" s="32">
        <v>1.486660187</v>
      </c>
      <c r="C20" s="46">
        <v>-0.024227474</v>
      </c>
      <c r="D20" s="32">
        <v>1.510887661</v>
      </c>
      <c r="E20" s="51">
        <f t="shared" si="1"/>
        <v>3.366304939</v>
      </c>
      <c r="F20" s="52">
        <f t="shared" si="2"/>
        <v>-0.1563049389</v>
      </c>
      <c r="G20" s="53">
        <f t="shared" si="3"/>
        <v>-0.04869312738</v>
      </c>
      <c r="H20" s="53">
        <f t="shared" si="4"/>
        <v>0.04869312738</v>
      </c>
      <c r="I20" s="53">
        <f t="shared" si="5"/>
        <v>0.02443123392</v>
      </c>
    </row>
    <row r="21">
      <c r="A21" s="31">
        <v>2.79</v>
      </c>
      <c r="B21" s="32">
        <v>1.417442431</v>
      </c>
      <c r="C21" s="46">
        <v>-0.039916198</v>
      </c>
      <c r="D21" s="32">
        <v>1.457358628</v>
      </c>
      <c r="E21" s="51">
        <f t="shared" si="1"/>
        <v>3.027455403</v>
      </c>
      <c r="F21" s="52">
        <f t="shared" si="2"/>
        <v>-0.2374554028</v>
      </c>
      <c r="G21" s="53">
        <f t="shared" si="3"/>
        <v>-0.08510946336</v>
      </c>
      <c r="H21" s="53">
        <f t="shared" si="4"/>
        <v>0.08510946336</v>
      </c>
      <c r="I21" s="53">
        <f t="shared" si="5"/>
        <v>0.0563850683</v>
      </c>
    </row>
    <row r="22">
      <c r="A22" s="31">
        <v>3.07</v>
      </c>
      <c r="B22" s="32">
        <v>1.464289835</v>
      </c>
      <c r="C22" s="46">
        <v>0.081445984</v>
      </c>
      <c r="D22" s="32">
        <v>1.382843851</v>
      </c>
      <c r="E22" s="51">
        <f t="shared" si="1"/>
        <v>2.594410274</v>
      </c>
      <c r="F22" s="52">
        <f t="shared" si="2"/>
        <v>0.4755897257</v>
      </c>
      <c r="G22" s="53">
        <f t="shared" si="3"/>
        <v>0.1549152201</v>
      </c>
      <c r="H22" s="53">
        <f t="shared" si="4"/>
        <v>0.1549152201</v>
      </c>
      <c r="I22" s="53">
        <f t="shared" si="5"/>
        <v>0.2261855872</v>
      </c>
    </row>
    <row r="23">
      <c r="A23" s="31">
        <v>3.31</v>
      </c>
      <c r="B23" s="32">
        <v>1.502247597</v>
      </c>
      <c r="C23" s="46">
        <v>0.039890566</v>
      </c>
      <c r="D23" s="32">
        <v>1.46235703</v>
      </c>
      <c r="E23" s="51">
        <f t="shared" si="1"/>
        <v>3.058096792</v>
      </c>
      <c r="F23" s="52">
        <f t="shared" si="2"/>
        <v>0.251903208</v>
      </c>
      <c r="G23" s="53">
        <f t="shared" si="3"/>
        <v>0.07610368822</v>
      </c>
      <c r="H23" s="53">
        <f t="shared" si="4"/>
        <v>0.07610368822</v>
      </c>
      <c r="I23" s="53">
        <f t="shared" si="5"/>
        <v>0.06345522621</v>
      </c>
    </row>
    <row r="24">
      <c r="A24" s="31">
        <v>3.58</v>
      </c>
      <c r="B24" s="32">
        <v>1.542837652</v>
      </c>
      <c r="C24" s="46">
        <v>0.051230271</v>
      </c>
      <c r="D24" s="32">
        <v>1.491607381</v>
      </c>
      <c r="E24" s="51">
        <f t="shared" si="1"/>
        <v>3.241519207</v>
      </c>
      <c r="F24" s="52">
        <f t="shared" si="2"/>
        <v>0.3384807934</v>
      </c>
      <c r="G24" s="53">
        <f t="shared" si="3"/>
        <v>0.09454770764</v>
      </c>
      <c r="H24" s="53">
        <f t="shared" si="4"/>
        <v>0.09454770764</v>
      </c>
      <c r="I24" s="53">
        <f t="shared" si="5"/>
        <v>0.1145692475</v>
      </c>
    </row>
    <row r="25">
      <c r="A25" s="31">
        <v>3.02</v>
      </c>
      <c r="B25" s="32">
        <v>1.456137413</v>
      </c>
      <c r="C25" s="46">
        <v>-0.080706738</v>
      </c>
      <c r="D25" s="32">
        <v>1.536844151</v>
      </c>
      <c r="E25" s="51">
        <f t="shared" si="1"/>
        <v>3.539250162</v>
      </c>
      <c r="F25" s="52">
        <f t="shared" si="2"/>
        <v>-0.5192501617</v>
      </c>
      <c r="G25" s="53">
        <f t="shared" si="3"/>
        <v>-0.1719371396</v>
      </c>
      <c r="H25" s="53">
        <f t="shared" si="4"/>
        <v>0.1719371396</v>
      </c>
      <c r="I25" s="53">
        <f t="shared" si="5"/>
        <v>0.2696207305</v>
      </c>
    </row>
    <row r="26">
      <c r="A26" s="31">
        <v>3.49</v>
      </c>
      <c r="B26" s="32">
        <v>1.529539317</v>
      </c>
      <c r="C26" s="46">
        <v>0.114621051</v>
      </c>
      <c r="D26" s="32">
        <v>1.414918266</v>
      </c>
      <c r="E26" s="51">
        <f t="shared" si="1"/>
        <v>2.775412305</v>
      </c>
      <c r="F26" s="52">
        <f t="shared" si="2"/>
        <v>0.7145876955</v>
      </c>
      <c r="G26" s="53">
        <f t="shared" si="3"/>
        <v>0.2047529213</v>
      </c>
      <c r="H26" s="53">
        <f t="shared" si="4"/>
        <v>0.2047529213</v>
      </c>
      <c r="I26" s="53">
        <f t="shared" si="5"/>
        <v>0.5106355746</v>
      </c>
      <c r="K26" s="35" t="s">
        <v>21</v>
      </c>
    </row>
    <row r="27">
      <c r="A27" s="31">
        <v>3.83</v>
      </c>
      <c r="B27" s="32">
        <v>1.578656286</v>
      </c>
      <c r="C27" s="46">
        <v>0.038363607</v>
      </c>
      <c r="D27" s="32">
        <v>1.540292679</v>
      </c>
      <c r="E27" s="51">
        <f t="shared" si="1"/>
        <v>3.562659102</v>
      </c>
      <c r="F27" s="52">
        <f t="shared" si="2"/>
        <v>0.2673408977</v>
      </c>
      <c r="G27" s="53">
        <f t="shared" si="3"/>
        <v>0.06980180096</v>
      </c>
      <c r="H27" s="53">
        <f t="shared" si="4"/>
        <v>0.06980180096</v>
      </c>
      <c r="I27" s="53">
        <f t="shared" si="5"/>
        <v>0.07147115556</v>
      </c>
    </row>
    <row r="28">
      <c r="A28" s="31">
        <v>3.61</v>
      </c>
      <c r="B28" s="32">
        <v>1.547221347</v>
      </c>
      <c r="C28" s="46">
        <v>-0.024935999</v>
      </c>
      <c r="D28" s="32">
        <v>1.572157346</v>
      </c>
      <c r="E28" s="51">
        <f t="shared" si="1"/>
        <v>3.783811033</v>
      </c>
      <c r="F28" s="52">
        <f t="shared" si="2"/>
        <v>-0.1738110325</v>
      </c>
      <c r="G28" s="53">
        <f t="shared" si="3"/>
        <v>-0.04814710042</v>
      </c>
      <c r="H28" s="53">
        <f t="shared" si="4"/>
        <v>0.04814710042</v>
      </c>
      <c r="I28" s="53">
        <f t="shared" si="5"/>
        <v>0.03021027503</v>
      </c>
    </row>
    <row r="29">
      <c r="A29" s="31">
        <v>4.17</v>
      </c>
      <c r="B29" s="32">
        <v>1.624973409</v>
      </c>
      <c r="C29" s="46">
        <v>0.100647361</v>
      </c>
      <c r="D29" s="32">
        <v>1.524326048</v>
      </c>
      <c r="E29" s="51">
        <f t="shared" si="1"/>
        <v>3.455129475</v>
      </c>
      <c r="F29" s="52">
        <f t="shared" si="2"/>
        <v>0.7148705247</v>
      </c>
      <c r="G29" s="53">
        <f t="shared" si="3"/>
        <v>0.1714317805</v>
      </c>
      <c r="H29" s="53">
        <f t="shared" si="4"/>
        <v>0.1714317805</v>
      </c>
      <c r="I29" s="53">
        <f t="shared" si="5"/>
        <v>0.511039867</v>
      </c>
    </row>
    <row r="30">
      <c r="A30" s="31">
        <v>4.33</v>
      </c>
      <c r="B30" s="32">
        <v>1.645909245</v>
      </c>
      <c r="C30" s="46">
        <v>0.009430841</v>
      </c>
      <c r="D30" s="32">
        <v>1.636478404</v>
      </c>
      <c r="E30" s="51">
        <f t="shared" si="1"/>
        <v>4.257433546</v>
      </c>
      <c r="F30" s="52">
        <f t="shared" si="2"/>
        <v>0.07256645395</v>
      </c>
      <c r="G30" s="53">
        <f t="shared" si="3"/>
        <v>0.01675899629</v>
      </c>
      <c r="H30" s="53">
        <f t="shared" si="4"/>
        <v>0.01675899629</v>
      </c>
      <c r="I30" s="53">
        <f t="shared" si="5"/>
        <v>0.005265890239</v>
      </c>
    </row>
    <row r="31">
      <c r="A31" s="31">
        <v>4.37</v>
      </c>
      <c r="B31" s="32">
        <v>1.651063165</v>
      </c>
      <c r="C31" s="46">
        <v>0.015618259</v>
      </c>
      <c r="D31" s="32">
        <v>1.635444906</v>
      </c>
      <c r="E31" s="51">
        <f t="shared" si="1"/>
        <v>4.249530362</v>
      </c>
      <c r="F31" s="52">
        <f t="shared" si="2"/>
        <v>0.1204696378</v>
      </c>
      <c r="G31" s="53">
        <f t="shared" si="3"/>
        <v>0.02756742285</v>
      </c>
      <c r="H31" s="53">
        <f t="shared" si="4"/>
        <v>0.02756742285</v>
      </c>
      <c r="I31" s="53">
        <f t="shared" si="5"/>
        <v>0.01451293364</v>
      </c>
    </row>
    <row r="32">
      <c r="A32" s="31">
        <v>3.88</v>
      </c>
      <c r="B32" s="32">
        <v>1.585633405</v>
      </c>
      <c r="C32" s="46">
        <v>-0.057049956</v>
      </c>
      <c r="D32" s="32">
        <v>1.642683361</v>
      </c>
      <c r="E32" s="51">
        <f t="shared" si="1"/>
        <v>4.305087033</v>
      </c>
      <c r="F32" s="52">
        <f t="shared" si="2"/>
        <v>-0.4250870325</v>
      </c>
      <c r="G32" s="53">
        <f t="shared" si="3"/>
        <v>-0.1095585135</v>
      </c>
      <c r="H32" s="53">
        <f t="shared" si="4"/>
        <v>0.1095585135</v>
      </c>
      <c r="I32" s="53">
        <f t="shared" si="5"/>
        <v>0.1806989852</v>
      </c>
    </row>
    <row r="33">
      <c r="A33" s="31">
        <v>3.82</v>
      </c>
      <c r="B33" s="32">
        <v>1.577253658</v>
      </c>
      <c r="C33" s="46">
        <v>0.019862154</v>
      </c>
      <c r="D33" s="32">
        <v>1.557391504</v>
      </c>
      <c r="E33" s="51">
        <f t="shared" si="1"/>
        <v>3.680237835</v>
      </c>
      <c r="F33" s="52">
        <f t="shared" si="2"/>
        <v>0.1397621652</v>
      </c>
      <c r="G33" s="53">
        <f t="shared" si="3"/>
        <v>0.03658695424</v>
      </c>
      <c r="H33" s="53">
        <f t="shared" si="4"/>
        <v>0.03658695424</v>
      </c>
      <c r="I33" s="53">
        <f t="shared" si="5"/>
        <v>0.01953346282</v>
      </c>
    </row>
    <row r="34">
      <c r="A34" s="31">
        <v>3.72</v>
      </c>
      <c r="B34" s="32">
        <v>1.563092213</v>
      </c>
      <c r="C34" s="46">
        <v>-0.005460423</v>
      </c>
      <c r="D34" s="32">
        <v>1.568552637</v>
      </c>
      <c r="E34" s="51">
        <f t="shared" si="1"/>
        <v>3.758351064</v>
      </c>
      <c r="F34" s="52">
        <f t="shared" si="2"/>
        <v>-0.03835106403</v>
      </c>
      <c r="G34" s="53">
        <f t="shared" si="3"/>
        <v>-0.01030942581</v>
      </c>
      <c r="H34" s="53">
        <f t="shared" si="4"/>
        <v>0.01030942581</v>
      </c>
      <c r="I34" s="53">
        <f t="shared" si="5"/>
        <v>0.001470804112</v>
      </c>
    </row>
    <row r="35">
      <c r="A35" s="31">
        <v>3.58</v>
      </c>
      <c r="B35" s="32">
        <v>1.542837652</v>
      </c>
      <c r="C35" s="46">
        <v>-0.005159334</v>
      </c>
      <c r="D35" s="32">
        <v>1.547996986</v>
      </c>
      <c r="E35" s="51">
        <f t="shared" si="1"/>
        <v>3.615325335</v>
      </c>
      <c r="F35" s="52">
        <f t="shared" si="2"/>
        <v>-0.03532533518</v>
      </c>
      <c r="G35" s="53">
        <f t="shared" si="3"/>
        <v>-0.009867412062</v>
      </c>
      <c r="H35" s="53">
        <f t="shared" si="4"/>
        <v>0.009867412062</v>
      </c>
      <c r="I35" s="53">
        <f t="shared" si="5"/>
        <v>0.001247879306</v>
      </c>
    </row>
    <row r="36">
      <c r="A36" s="31">
        <v>3.3</v>
      </c>
      <c r="B36" s="32">
        <v>1.500702961</v>
      </c>
      <c r="C36" s="46">
        <v>-0.02692452</v>
      </c>
      <c r="D36" s="32">
        <v>1.527627482</v>
      </c>
      <c r="E36" s="51">
        <f t="shared" si="1"/>
        <v>3.477185273</v>
      </c>
      <c r="F36" s="52">
        <f t="shared" si="2"/>
        <v>-0.1771852727</v>
      </c>
      <c r="G36" s="53">
        <f t="shared" si="3"/>
        <v>-0.05369250688</v>
      </c>
      <c r="H36" s="53">
        <f t="shared" si="4"/>
        <v>0.05369250688</v>
      </c>
      <c r="I36" s="53">
        <f t="shared" si="5"/>
        <v>0.03139462086</v>
      </c>
    </row>
    <row r="37">
      <c r="A37" s="31">
        <v>3.61</v>
      </c>
      <c r="B37" s="32">
        <v>1.547221347</v>
      </c>
      <c r="C37" s="46">
        <v>0.06803714</v>
      </c>
      <c r="D37" s="32">
        <v>1.479184207</v>
      </c>
      <c r="E37" s="51">
        <f t="shared" si="1"/>
        <v>3.162754442</v>
      </c>
      <c r="F37" s="52">
        <f t="shared" si="2"/>
        <v>0.4472455579</v>
      </c>
      <c r="G37" s="53">
        <f t="shared" si="3"/>
        <v>0.1238907363</v>
      </c>
      <c r="H37" s="53">
        <f t="shared" si="4"/>
        <v>0.1238907363</v>
      </c>
      <c r="I37" s="53">
        <f t="shared" si="5"/>
        <v>0.2000285891</v>
      </c>
    </row>
    <row r="38">
      <c r="A38" s="31">
        <v>3.25</v>
      </c>
      <c r="B38" s="32">
        <v>1.492933086</v>
      </c>
      <c r="C38" s="46">
        <v>-0.058486829</v>
      </c>
      <c r="D38" s="32">
        <v>1.551419914</v>
      </c>
      <c r="E38" s="51">
        <f t="shared" si="1"/>
        <v>3.638888186</v>
      </c>
      <c r="F38" s="52">
        <f t="shared" si="2"/>
        <v>-0.388888186</v>
      </c>
      <c r="G38" s="53">
        <f t="shared" si="3"/>
        <v>-0.1196579034</v>
      </c>
      <c r="H38" s="53">
        <f t="shared" si="4"/>
        <v>0.1196579034</v>
      </c>
      <c r="I38" s="53">
        <f t="shared" si="5"/>
        <v>0.1512340212</v>
      </c>
    </row>
    <row r="39">
      <c r="A39" s="31">
        <v>3.18</v>
      </c>
      <c r="B39" s="32">
        <v>1.481921575</v>
      </c>
      <c r="C39" s="46">
        <v>0.017879145</v>
      </c>
      <c r="D39" s="32">
        <v>1.464042429</v>
      </c>
      <c r="E39" s="51">
        <f t="shared" si="1"/>
        <v>3.068474641</v>
      </c>
      <c r="F39" s="52">
        <f t="shared" si="2"/>
        <v>0.1115253592</v>
      </c>
      <c r="G39" s="53">
        <f t="shared" si="3"/>
        <v>0.03507086766</v>
      </c>
      <c r="H39" s="53">
        <f t="shared" si="4"/>
        <v>0.03507086766</v>
      </c>
      <c r="I39" s="53">
        <f t="shared" si="5"/>
        <v>0.01243790574</v>
      </c>
    </row>
    <row r="40">
      <c r="A40" s="31">
        <v>3.4</v>
      </c>
      <c r="B40" s="32">
        <v>1.516012673</v>
      </c>
      <c r="C40" s="46">
        <v>0.043646964</v>
      </c>
      <c r="D40" s="32">
        <v>1.472365709</v>
      </c>
      <c r="E40" s="51">
        <f t="shared" si="1"/>
        <v>3.120066185</v>
      </c>
      <c r="F40" s="52">
        <f t="shared" si="2"/>
        <v>0.2799338145</v>
      </c>
      <c r="G40" s="53">
        <f t="shared" si="3"/>
        <v>0.08233347486</v>
      </c>
      <c r="H40" s="53">
        <f t="shared" si="4"/>
        <v>0.08233347486</v>
      </c>
      <c r="I40" s="53">
        <f t="shared" si="5"/>
        <v>0.07836294051</v>
      </c>
    </row>
    <row r="41">
      <c r="A41" s="31">
        <v>3.41</v>
      </c>
      <c r="B41" s="32">
        <v>1.517527217</v>
      </c>
      <c r="C41" s="46">
        <v>0.003171386</v>
      </c>
      <c r="D41" s="32">
        <v>1.514355831</v>
      </c>
      <c r="E41" s="51">
        <f t="shared" si="1"/>
        <v>3.389082643</v>
      </c>
      <c r="F41" s="52">
        <f t="shared" si="2"/>
        <v>0.02091735734</v>
      </c>
      <c r="G41" s="53">
        <f t="shared" si="3"/>
        <v>0.006134122388</v>
      </c>
      <c r="H41" s="53">
        <f t="shared" si="4"/>
        <v>0.006134122388</v>
      </c>
      <c r="I41" s="53">
        <f t="shared" si="5"/>
        <v>0.0004375358382</v>
      </c>
    </row>
    <row r="42">
      <c r="A42" s="31">
        <v>3.23</v>
      </c>
      <c r="B42" s="32">
        <v>1.489803045</v>
      </c>
      <c r="C42" s="46">
        <v>-0.016281816</v>
      </c>
      <c r="D42" s="32">
        <v>1.506084861</v>
      </c>
      <c r="E42" s="51">
        <f t="shared" si="1"/>
        <v>3.334929038</v>
      </c>
      <c r="F42" s="52">
        <f t="shared" si="2"/>
        <v>-0.1049290379</v>
      </c>
      <c r="G42" s="53">
        <f t="shared" si="3"/>
        <v>-0.03248577026</v>
      </c>
      <c r="H42" s="53">
        <f t="shared" si="4"/>
        <v>0.03248577026</v>
      </c>
      <c r="I42" s="53">
        <f t="shared" si="5"/>
        <v>0.011010103</v>
      </c>
    </row>
    <row r="43">
      <c r="A43" s="31">
        <v>3.12</v>
      </c>
      <c r="B43" s="32">
        <v>1.47235509</v>
      </c>
      <c r="C43" s="46">
        <v>-6.51632E-4</v>
      </c>
      <c r="D43" s="32">
        <v>1.473006722</v>
      </c>
      <c r="E43" s="51">
        <f t="shared" si="1"/>
        <v>3.124063051</v>
      </c>
      <c r="F43" s="52">
        <f t="shared" si="2"/>
        <v>-0.004063050984</v>
      </c>
      <c r="G43" s="53">
        <f t="shared" si="3"/>
        <v>-0.001302259931</v>
      </c>
      <c r="H43" s="53">
        <f t="shared" si="4"/>
        <v>0.001302259931</v>
      </c>
      <c r="I43" s="53">
        <f t="shared" si="5"/>
        <v>0.0000165083833</v>
      </c>
    </row>
    <row r="44">
      <c r="A44" s="31">
        <v>3.18</v>
      </c>
      <c r="B44" s="32">
        <v>1.481921575</v>
      </c>
      <c r="C44" s="46">
        <v>0.022563054</v>
      </c>
      <c r="D44" s="32">
        <v>1.459358521</v>
      </c>
      <c r="E44" s="51">
        <f t="shared" si="1"/>
        <v>3.039690783</v>
      </c>
      <c r="F44" s="52">
        <f t="shared" si="2"/>
        <v>0.1403092171</v>
      </c>
      <c r="G44" s="53">
        <f t="shared" si="3"/>
        <v>0.04412239532</v>
      </c>
      <c r="H44" s="53">
        <f t="shared" si="4"/>
        <v>0.04412239532</v>
      </c>
      <c r="I44" s="53">
        <f t="shared" si="5"/>
        <v>0.0196866764</v>
      </c>
    </row>
    <row r="45">
      <c r="A45" s="31">
        <v>3.2</v>
      </c>
      <c r="B45" s="32">
        <v>1.485083909</v>
      </c>
      <c r="C45" s="46">
        <v>0.009655164</v>
      </c>
      <c r="D45" s="32">
        <v>1.475428745</v>
      </c>
      <c r="E45" s="51">
        <f t="shared" si="1"/>
        <v>3.139195433</v>
      </c>
      <c r="F45" s="52">
        <f t="shared" si="2"/>
        <v>0.06080456663</v>
      </c>
      <c r="G45" s="53">
        <f t="shared" si="3"/>
        <v>0.01900142707</v>
      </c>
      <c r="H45" s="53">
        <f t="shared" si="4"/>
        <v>0.01900142707</v>
      </c>
      <c r="I45" s="53">
        <f t="shared" si="5"/>
        <v>0.003697195323</v>
      </c>
    </row>
    <row r="46">
      <c r="A46" s="31">
        <v>2.88</v>
      </c>
      <c r="B46" s="32">
        <v>1.432825974</v>
      </c>
      <c r="C46" s="46">
        <v>-0.042960422</v>
      </c>
      <c r="D46" s="32">
        <v>1.475786396</v>
      </c>
      <c r="E46" s="51">
        <f t="shared" si="1"/>
        <v>3.141434066</v>
      </c>
      <c r="F46" s="52">
        <f t="shared" si="2"/>
        <v>-0.2614340659</v>
      </c>
      <c r="G46" s="53">
        <f t="shared" si="3"/>
        <v>-0.09077571734</v>
      </c>
      <c r="H46" s="53">
        <f t="shared" si="4"/>
        <v>0.09077571734</v>
      </c>
      <c r="I46" s="53">
        <f t="shared" si="5"/>
        <v>0.06834777083</v>
      </c>
    </row>
    <row r="47">
      <c r="A47" s="31">
        <v>3.16</v>
      </c>
      <c r="B47" s="32">
        <v>1.478746086</v>
      </c>
      <c r="C47" s="46">
        <v>0.069659256</v>
      </c>
      <c r="D47" s="32">
        <v>1.40908683</v>
      </c>
      <c r="E47" s="51">
        <f t="shared" si="1"/>
        <v>2.74190386</v>
      </c>
      <c r="F47" s="52">
        <f t="shared" si="2"/>
        <v>0.4180961401</v>
      </c>
      <c r="G47" s="53">
        <f t="shared" si="3"/>
        <v>0.1323089051</v>
      </c>
      <c r="H47" s="53">
        <f t="shared" si="4"/>
        <v>0.1323089051</v>
      </c>
      <c r="I47" s="53">
        <f t="shared" si="5"/>
        <v>0.1748043824</v>
      </c>
    </row>
    <row r="48">
      <c r="A48" s="31">
        <v>3.23</v>
      </c>
      <c r="B48" s="32">
        <v>1.489803045</v>
      </c>
      <c r="C48" s="46">
        <v>0.004699847</v>
      </c>
      <c r="D48" s="32">
        <v>1.485103198</v>
      </c>
      <c r="E48" s="51">
        <f t="shared" si="1"/>
        <v>3.200122243</v>
      </c>
      <c r="F48" s="52">
        <f t="shared" si="2"/>
        <v>0.02987775664</v>
      </c>
      <c r="G48" s="53">
        <f t="shared" si="3"/>
        <v>0.009250079455</v>
      </c>
      <c r="H48" s="53">
        <f t="shared" si="4"/>
        <v>0.009250079455</v>
      </c>
      <c r="I48" s="53">
        <f t="shared" si="5"/>
        <v>0.0008926803419</v>
      </c>
    </row>
    <row r="49">
      <c r="A49" s="31">
        <v>3.13</v>
      </c>
      <c r="B49" s="32">
        <v>1.473957885</v>
      </c>
      <c r="C49" s="46">
        <v>-0.006483211</v>
      </c>
      <c r="D49" s="32">
        <v>1.480441096</v>
      </c>
      <c r="E49" s="51">
        <f t="shared" si="1"/>
        <v>3.170665223</v>
      </c>
      <c r="F49" s="52">
        <f t="shared" si="2"/>
        <v>-0.04066522275</v>
      </c>
      <c r="G49" s="53">
        <f t="shared" si="3"/>
        <v>-0.01299208395</v>
      </c>
      <c r="H49" s="53">
        <f t="shared" si="4"/>
        <v>0.01299208395</v>
      </c>
      <c r="I49" s="53">
        <f t="shared" si="5"/>
        <v>0.001653660341</v>
      </c>
    </row>
    <row r="50">
      <c r="A50" s="31">
        <v>2.82</v>
      </c>
      <c r="B50" s="32">
        <v>1.422606199</v>
      </c>
      <c r="C50" s="46">
        <v>-0.03901706</v>
      </c>
      <c r="D50" s="32">
        <v>1.46162326</v>
      </c>
      <c r="E50" s="51">
        <f t="shared" si="1"/>
        <v>3.053585849</v>
      </c>
      <c r="F50" s="52">
        <f t="shared" si="2"/>
        <v>-0.2335858492</v>
      </c>
      <c r="G50" s="53">
        <f t="shared" si="3"/>
        <v>-0.08283186142</v>
      </c>
      <c r="H50" s="53">
        <f t="shared" si="4"/>
        <v>0.08283186142</v>
      </c>
      <c r="I50" s="53">
        <f t="shared" si="5"/>
        <v>0.05456234894</v>
      </c>
    </row>
    <row r="51">
      <c r="A51" s="31">
        <v>2.57</v>
      </c>
      <c r="B51" s="32">
        <v>1.37840634</v>
      </c>
      <c r="C51" s="46">
        <v>-0.022480298</v>
      </c>
      <c r="D51" s="32">
        <v>1.400886637</v>
      </c>
      <c r="E51" s="51">
        <f t="shared" si="1"/>
        <v>2.695237478</v>
      </c>
      <c r="F51" s="52">
        <f t="shared" si="2"/>
        <v>-0.1252374782</v>
      </c>
      <c r="G51" s="53">
        <f t="shared" si="3"/>
        <v>-0.04873053626</v>
      </c>
      <c r="H51" s="53">
        <f t="shared" si="4"/>
        <v>0.04873053626</v>
      </c>
      <c r="I51" s="53">
        <f t="shared" si="5"/>
        <v>0.01568442595</v>
      </c>
    </row>
    <row r="52">
      <c r="A52" s="31">
        <v>2.48</v>
      </c>
      <c r="B52" s="32">
        <v>1.361800758</v>
      </c>
      <c r="C52" s="46">
        <v>0.001890393</v>
      </c>
      <c r="D52" s="32">
        <v>1.359910364</v>
      </c>
      <c r="E52" s="51">
        <f t="shared" si="1"/>
        <v>2.469888253</v>
      </c>
      <c r="F52" s="52">
        <f t="shared" si="2"/>
        <v>0.01011174656</v>
      </c>
      <c r="G52" s="53">
        <f t="shared" si="3"/>
        <v>0.00407731716</v>
      </c>
      <c r="H52" s="53">
        <f t="shared" si="4"/>
        <v>0.00407731716</v>
      </c>
      <c r="I52" s="53">
        <f t="shared" si="5"/>
        <v>0.0001022474184</v>
      </c>
    </row>
    <row r="53">
      <c r="A53" s="31">
        <v>2.83</v>
      </c>
      <c r="B53" s="32">
        <v>1.424319395</v>
      </c>
      <c r="C53" s="46">
        <v>0.074983767</v>
      </c>
      <c r="D53" s="32">
        <v>1.349335628</v>
      </c>
      <c r="E53" s="51">
        <f t="shared" si="1"/>
        <v>2.413825362</v>
      </c>
      <c r="F53" s="52">
        <f t="shared" si="2"/>
        <v>0.4161746381</v>
      </c>
      <c r="G53" s="53">
        <f t="shared" si="3"/>
        <v>0.147058176</v>
      </c>
      <c r="H53" s="53">
        <f t="shared" si="4"/>
        <v>0.147058176</v>
      </c>
      <c r="I53" s="53">
        <f t="shared" si="5"/>
        <v>0.1732013294</v>
      </c>
    </row>
    <row r="54">
      <c r="A54" s="31">
        <v>3.32</v>
      </c>
      <c r="B54" s="32">
        <v>1.503789155</v>
      </c>
      <c r="C54" s="46">
        <v>0.071313221</v>
      </c>
      <c r="D54" s="32">
        <v>1.432475934</v>
      </c>
      <c r="E54" s="51">
        <f t="shared" si="1"/>
        <v>2.87793112</v>
      </c>
      <c r="F54" s="52">
        <f t="shared" si="2"/>
        <v>0.44206888</v>
      </c>
      <c r="G54" s="53">
        <f t="shared" si="3"/>
        <v>0.1331532771</v>
      </c>
      <c r="H54" s="53">
        <f t="shared" si="4"/>
        <v>0.1331532771</v>
      </c>
      <c r="I54" s="53">
        <f t="shared" si="5"/>
        <v>0.1954248946</v>
      </c>
    </row>
    <row r="55">
      <c r="A55" s="31">
        <v>3.28</v>
      </c>
      <c r="B55" s="32">
        <v>1.497604398</v>
      </c>
      <c r="C55" s="46">
        <v>-0.016050217</v>
      </c>
      <c r="D55" s="32">
        <v>1.513654615</v>
      </c>
      <c r="E55" s="51">
        <f t="shared" si="1"/>
        <v>3.384469128</v>
      </c>
      <c r="F55" s="52">
        <f t="shared" si="2"/>
        <v>-0.1044691278</v>
      </c>
      <c r="G55" s="53">
        <f t="shared" si="3"/>
        <v>-0.03185034383</v>
      </c>
      <c r="H55" s="53">
        <f t="shared" si="4"/>
        <v>0.03185034383</v>
      </c>
      <c r="I55" s="53">
        <f t="shared" si="5"/>
        <v>0.01091379866</v>
      </c>
    </row>
    <row r="56">
      <c r="A56" s="31">
        <v>3.32</v>
      </c>
      <c r="B56" s="32">
        <v>1.503789155</v>
      </c>
      <c r="C56" s="46">
        <v>0.018277514</v>
      </c>
      <c r="D56" s="32">
        <v>1.485511641</v>
      </c>
      <c r="E56" s="51">
        <f t="shared" si="1"/>
        <v>3.20271152</v>
      </c>
      <c r="F56" s="52">
        <f t="shared" si="2"/>
        <v>0.1172884803</v>
      </c>
      <c r="G56" s="53">
        <f t="shared" si="3"/>
        <v>0.03532785552</v>
      </c>
      <c r="H56" s="53">
        <f t="shared" si="4"/>
        <v>0.03532785552</v>
      </c>
      <c r="I56" s="53">
        <f t="shared" si="5"/>
        <v>0.01375658762</v>
      </c>
    </row>
    <row r="57">
      <c r="A57" s="31">
        <v>3.49</v>
      </c>
      <c r="B57" s="32">
        <v>1.529539317</v>
      </c>
      <c r="C57" s="46">
        <v>0.02877728</v>
      </c>
      <c r="D57" s="32">
        <v>1.500762037</v>
      </c>
      <c r="E57" s="51">
        <f t="shared" si="1"/>
        <v>3.300382089</v>
      </c>
      <c r="F57" s="52">
        <f t="shared" si="2"/>
        <v>0.1896179107</v>
      </c>
      <c r="G57" s="53">
        <f t="shared" si="3"/>
        <v>0.05433177958</v>
      </c>
      <c r="H57" s="53">
        <f t="shared" si="4"/>
        <v>0.05433177958</v>
      </c>
      <c r="I57" s="53">
        <f t="shared" si="5"/>
        <v>0.03595495207</v>
      </c>
    </row>
    <row r="58">
      <c r="A58" s="31">
        <v>3.39</v>
      </c>
      <c r="B58" s="32">
        <v>1.514495187</v>
      </c>
      <c r="C58" s="46">
        <v>-0.015637492</v>
      </c>
      <c r="D58" s="32">
        <v>1.530132678</v>
      </c>
      <c r="E58" s="51">
        <f t="shared" si="1"/>
        <v>3.49398353</v>
      </c>
      <c r="F58" s="52">
        <f t="shared" si="2"/>
        <v>-0.10398353</v>
      </c>
      <c r="G58" s="53">
        <f t="shared" si="3"/>
        <v>-0.03067360768</v>
      </c>
      <c r="H58" s="53">
        <f t="shared" si="4"/>
        <v>0.03067360768</v>
      </c>
      <c r="I58" s="53">
        <f t="shared" si="5"/>
        <v>0.01081257452</v>
      </c>
    </row>
    <row r="59">
      <c r="A59" s="31">
        <v>3.13</v>
      </c>
      <c r="B59" s="32">
        <v>1.473957885</v>
      </c>
      <c r="C59" s="46">
        <v>-0.02969396</v>
      </c>
      <c r="D59" s="32">
        <v>1.503651845</v>
      </c>
      <c r="E59" s="51">
        <f t="shared" si="1"/>
        <v>3.31910847</v>
      </c>
      <c r="F59" s="52">
        <f t="shared" si="2"/>
        <v>-0.1891084702</v>
      </c>
      <c r="G59" s="53">
        <f t="shared" si="3"/>
        <v>-0.06041804161</v>
      </c>
      <c r="H59" s="53">
        <f t="shared" si="4"/>
        <v>0.06041804161</v>
      </c>
      <c r="I59" s="53">
        <f t="shared" si="5"/>
        <v>0.03576201351</v>
      </c>
      <c r="J59" s="54"/>
    </row>
    <row r="60">
      <c r="A60" s="31">
        <v>3.0</v>
      </c>
      <c r="B60" s="32">
        <v>1.452851502</v>
      </c>
      <c r="C60" s="46">
        <v>-0.005738986</v>
      </c>
      <c r="D60" s="32">
        <v>1.458590488</v>
      </c>
      <c r="E60" s="51">
        <f t="shared" si="1"/>
        <v>3.034988091</v>
      </c>
      <c r="F60" s="52">
        <f t="shared" si="2"/>
        <v>-0.03498809114</v>
      </c>
      <c r="G60" s="53">
        <f t="shared" si="3"/>
        <v>-0.01166269705</v>
      </c>
      <c r="H60" s="53">
        <f t="shared" si="4"/>
        <v>0.01166269705</v>
      </c>
      <c r="I60" s="53">
        <f t="shared" si="5"/>
        <v>0.001224166522</v>
      </c>
    </row>
    <row r="61">
      <c r="A61" s="31">
        <v>2.72</v>
      </c>
      <c r="B61" s="32">
        <v>1.405249461</v>
      </c>
      <c r="C61" s="46">
        <v>-0.037884903</v>
      </c>
      <c r="D61" s="32">
        <v>1.443134364</v>
      </c>
      <c r="E61" s="51">
        <f t="shared" si="1"/>
        <v>2.941367696</v>
      </c>
      <c r="F61" s="52">
        <f t="shared" si="2"/>
        <v>-0.221367696</v>
      </c>
      <c r="G61" s="53">
        <f t="shared" si="3"/>
        <v>-0.08138518234</v>
      </c>
      <c r="H61" s="53">
        <f t="shared" si="4"/>
        <v>0.08138518234</v>
      </c>
      <c r="I61" s="53">
        <f t="shared" si="5"/>
        <v>0.04900365682</v>
      </c>
      <c r="K61" s="55"/>
    </row>
    <row r="62">
      <c r="A62" s="31">
        <v>2.68</v>
      </c>
      <c r="B62" s="32">
        <v>1.398188835</v>
      </c>
      <c r="C62" s="46">
        <v>0.011905163</v>
      </c>
      <c r="D62" s="32">
        <v>1.386283672</v>
      </c>
      <c r="E62" s="51">
        <f t="shared" si="1"/>
        <v>2.613437283</v>
      </c>
      <c r="F62" s="52">
        <f t="shared" si="2"/>
        <v>0.06656271663</v>
      </c>
      <c r="G62" s="53">
        <f t="shared" si="3"/>
        <v>0.02483683457</v>
      </c>
      <c r="H62" s="53">
        <f t="shared" si="4"/>
        <v>0.02483683457</v>
      </c>
      <c r="I62" s="53">
        <f t="shared" si="5"/>
        <v>0.004430595246</v>
      </c>
    </row>
    <row r="63">
      <c r="A63" s="31">
        <v>2.98</v>
      </c>
      <c r="B63" s="32">
        <v>1.4495511</v>
      </c>
      <c r="C63" s="46">
        <v>0.057712839</v>
      </c>
      <c r="D63" s="32">
        <v>1.39183826</v>
      </c>
      <c r="E63" s="51">
        <f t="shared" si="1"/>
        <v>2.644355946</v>
      </c>
      <c r="F63" s="52">
        <f t="shared" si="2"/>
        <v>0.3356440535</v>
      </c>
      <c r="G63" s="53">
        <f t="shared" si="3"/>
        <v>0.1126322327</v>
      </c>
      <c r="H63" s="53">
        <f t="shared" si="4"/>
        <v>0.1126322327</v>
      </c>
      <c r="I63" s="53">
        <f t="shared" si="5"/>
        <v>0.1126569307</v>
      </c>
    </row>
    <row r="64">
      <c r="A64" s="31">
        <v>2.96</v>
      </c>
      <c r="B64" s="32">
        <v>1.446236046</v>
      </c>
      <c r="C64" s="46">
        <v>-0.010279978</v>
      </c>
      <c r="D64" s="32">
        <v>1.456516025</v>
      </c>
      <c r="E64" s="51">
        <f t="shared" si="1"/>
        <v>3.022310091</v>
      </c>
      <c r="F64" s="52">
        <f t="shared" si="2"/>
        <v>-0.06231009134</v>
      </c>
      <c r="G64" s="53">
        <f t="shared" si="3"/>
        <v>-0.02105070653</v>
      </c>
      <c r="H64" s="53">
        <f t="shared" si="4"/>
        <v>0.02105070653</v>
      </c>
      <c r="I64" s="53">
        <f t="shared" si="5"/>
        <v>0.003882547482</v>
      </c>
    </row>
    <row r="65">
      <c r="A65" s="31">
        <v>2.67</v>
      </c>
      <c r="B65" s="32">
        <v>1.396412825</v>
      </c>
      <c r="C65" s="46">
        <v>-0.039779446</v>
      </c>
      <c r="D65" s="32">
        <v>1.436192271</v>
      </c>
      <c r="E65" s="51">
        <f t="shared" si="1"/>
        <v>2.899946304</v>
      </c>
      <c r="F65" s="52">
        <f t="shared" si="2"/>
        <v>-0.2299463039</v>
      </c>
      <c r="G65" s="53">
        <f t="shared" si="3"/>
        <v>-0.08612221121</v>
      </c>
      <c r="H65" s="53">
        <f t="shared" si="4"/>
        <v>0.08612221121</v>
      </c>
      <c r="I65" s="53">
        <f t="shared" si="5"/>
        <v>0.05287530269</v>
      </c>
    </row>
    <row r="66">
      <c r="A66" s="31">
        <v>2.19</v>
      </c>
      <c r="B66" s="32">
        <v>1.305422215</v>
      </c>
      <c r="C66" s="46">
        <v>-0.072276323</v>
      </c>
      <c r="D66" s="32">
        <v>1.377698538</v>
      </c>
      <c r="E66" s="51">
        <f t="shared" si="1"/>
        <v>2.566120532</v>
      </c>
      <c r="F66" s="52">
        <f t="shared" si="2"/>
        <v>-0.3761205322</v>
      </c>
      <c r="G66" s="53">
        <f t="shared" si="3"/>
        <v>-0.1717445352</v>
      </c>
      <c r="H66" s="53">
        <f t="shared" si="4"/>
        <v>0.1717445352</v>
      </c>
      <c r="I66" s="53">
        <f t="shared" si="5"/>
        <v>0.1414666547</v>
      </c>
    </row>
    <row r="67">
      <c r="A67" s="31">
        <v>1.96</v>
      </c>
      <c r="B67" s="32">
        <v>1.257092005</v>
      </c>
      <c r="C67" s="46">
        <v>-0.019024247</v>
      </c>
      <c r="D67" s="32">
        <v>1.276116252</v>
      </c>
      <c r="E67" s="51">
        <f t="shared" si="1"/>
        <v>2.048527891</v>
      </c>
      <c r="F67" s="52">
        <f t="shared" si="2"/>
        <v>-0.08852789133</v>
      </c>
      <c r="G67" s="53">
        <f t="shared" si="3"/>
        <v>-0.04516729149</v>
      </c>
      <c r="H67" s="53">
        <f t="shared" si="4"/>
        <v>0.04516729149</v>
      </c>
      <c r="I67" s="53">
        <f t="shared" si="5"/>
        <v>0.007837187542</v>
      </c>
    </row>
    <row r="68">
      <c r="A68" s="31">
        <v>1.54</v>
      </c>
      <c r="B68" s="32">
        <v>1.158129289</v>
      </c>
      <c r="C68" s="46">
        <v>-0.081988252</v>
      </c>
      <c r="D68" s="32">
        <v>1.240117541</v>
      </c>
      <c r="E68" s="51">
        <f t="shared" si="1"/>
        <v>1.883175245</v>
      </c>
      <c r="F68" s="52">
        <f t="shared" si="2"/>
        <v>-0.3431752455</v>
      </c>
      <c r="G68" s="53">
        <f t="shared" si="3"/>
        <v>-0.2228410685</v>
      </c>
      <c r="H68" s="53">
        <f t="shared" si="4"/>
        <v>0.2228410685</v>
      </c>
      <c r="I68" s="53">
        <f t="shared" si="5"/>
        <v>0.1177692491</v>
      </c>
    </row>
    <row r="69">
      <c r="A69" s="31">
        <v>1.32</v>
      </c>
      <c r="B69" s="32">
        <v>1.098993532</v>
      </c>
      <c r="C69" s="46">
        <v>-0.0237615</v>
      </c>
      <c r="D69" s="32">
        <v>1.122755033</v>
      </c>
      <c r="E69" s="51">
        <f t="shared" si="1"/>
        <v>1.405714388</v>
      </c>
      <c r="F69" s="52">
        <f t="shared" si="2"/>
        <v>-0.08571438757</v>
      </c>
      <c r="G69" s="53">
        <f t="shared" si="3"/>
        <v>-0.0649351421</v>
      </c>
      <c r="H69" s="53">
        <f t="shared" si="4"/>
        <v>0.0649351421</v>
      </c>
      <c r="I69" s="53">
        <f t="shared" si="5"/>
        <v>0.007346956237</v>
      </c>
    </row>
    <row r="70">
      <c r="A70" s="31">
        <v>1.42</v>
      </c>
      <c r="B70" s="32">
        <v>1.126621506</v>
      </c>
      <c r="C70" s="46">
        <v>0.049626957</v>
      </c>
      <c r="D70" s="32">
        <v>1.076994549</v>
      </c>
      <c r="E70" s="51">
        <f t="shared" si="1"/>
        <v>1.243785827</v>
      </c>
      <c r="F70" s="52">
        <f t="shared" si="2"/>
        <v>0.1762141734</v>
      </c>
      <c r="G70" s="53">
        <f t="shared" si="3"/>
        <v>0.1240944883</v>
      </c>
      <c r="H70" s="53">
        <f t="shared" si="4"/>
        <v>0.1240944883</v>
      </c>
      <c r="I70" s="53">
        <f t="shared" si="5"/>
        <v>0.03105143492</v>
      </c>
    </row>
    <row r="71">
      <c r="A71" s="31">
        <v>1.44</v>
      </c>
      <c r="B71" s="32">
        <v>1.131991712</v>
      </c>
      <c r="C71" s="46">
        <v>0.007602248</v>
      </c>
      <c r="D71" s="32">
        <v>1.124389464</v>
      </c>
      <c r="E71" s="51">
        <f t="shared" si="1"/>
        <v>1.411741555</v>
      </c>
      <c r="F71" s="52">
        <f t="shared" si="2"/>
        <v>0.02825844547</v>
      </c>
      <c r="G71" s="53">
        <f t="shared" si="3"/>
        <v>0.01962392047</v>
      </c>
      <c r="H71" s="53">
        <f t="shared" si="4"/>
        <v>0.01962392047</v>
      </c>
      <c r="I71" s="53">
        <f t="shared" si="5"/>
        <v>0.0007985397405</v>
      </c>
    </row>
    <row r="72">
      <c r="A72" s="31">
        <v>1.59</v>
      </c>
      <c r="B72" s="32">
        <v>1.170779265</v>
      </c>
      <c r="C72" s="46">
        <v>0.051022098</v>
      </c>
      <c r="D72" s="32">
        <v>1.119757167</v>
      </c>
      <c r="E72" s="51">
        <f t="shared" si="1"/>
        <v>1.394703575</v>
      </c>
      <c r="F72" s="52">
        <f t="shared" si="2"/>
        <v>0.1952964248</v>
      </c>
      <c r="G72" s="53">
        <f t="shared" si="3"/>
        <v>0.1228279401</v>
      </c>
      <c r="H72" s="53">
        <f t="shared" si="4"/>
        <v>0.1228279401</v>
      </c>
      <c r="I72" s="53">
        <f t="shared" si="5"/>
        <v>0.03814069352</v>
      </c>
    </row>
    <row r="73">
      <c r="A73" s="31">
        <v>1.68</v>
      </c>
      <c r="B73" s="32">
        <v>1.192903069</v>
      </c>
      <c r="C73" s="46">
        <v>0.021871556</v>
      </c>
      <c r="D73" s="32">
        <v>1.171031513</v>
      </c>
      <c r="E73" s="51">
        <f t="shared" si="1"/>
        <v>1.591007771</v>
      </c>
      <c r="F73" s="52">
        <f t="shared" si="2"/>
        <v>0.08899222907</v>
      </c>
      <c r="G73" s="53">
        <f t="shared" si="3"/>
        <v>0.05297156492</v>
      </c>
      <c r="H73" s="53">
        <f t="shared" si="4"/>
        <v>0.05297156492</v>
      </c>
      <c r="I73" s="53">
        <f t="shared" si="5"/>
        <v>0.007919616835</v>
      </c>
    </row>
    <row r="74">
      <c r="A74" s="31">
        <v>1.55</v>
      </c>
      <c r="B74" s="32">
        <v>1.160680738</v>
      </c>
      <c r="C74" s="46">
        <v>-0.026143061</v>
      </c>
      <c r="D74" s="32">
        <v>1.186823799</v>
      </c>
      <c r="E74" s="51">
        <f t="shared" si="1"/>
        <v>1.654943144</v>
      </c>
      <c r="F74" s="52">
        <f t="shared" si="2"/>
        <v>-0.1049431435</v>
      </c>
      <c r="G74" s="53">
        <f t="shared" si="3"/>
        <v>-0.06770525389</v>
      </c>
      <c r="H74" s="53">
        <f t="shared" si="4"/>
        <v>0.06770525389</v>
      </c>
      <c r="I74" s="53">
        <f t="shared" si="5"/>
        <v>0.01101306337</v>
      </c>
    </row>
    <row r="75">
      <c r="A75" s="31">
        <v>1.38</v>
      </c>
      <c r="B75" s="32">
        <v>1.115729432</v>
      </c>
      <c r="C75" s="46">
        <v>-0.026170685</v>
      </c>
      <c r="D75" s="32">
        <v>1.141900117</v>
      </c>
      <c r="E75" s="51">
        <f t="shared" si="1"/>
        <v>1.477387646</v>
      </c>
      <c r="F75" s="52">
        <f t="shared" si="2"/>
        <v>-0.09738764598</v>
      </c>
      <c r="G75" s="53">
        <f t="shared" si="3"/>
        <v>-0.07057075796</v>
      </c>
      <c r="H75" s="53">
        <f t="shared" si="4"/>
        <v>0.07057075796</v>
      </c>
      <c r="I75" s="53">
        <f t="shared" si="5"/>
        <v>0.00948435359</v>
      </c>
    </row>
    <row r="76">
      <c r="A76" s="31">
        <v>1.37</v>
      </c>
      <c r="B76" s="32">
        <v>1.112973933</v>
      </c>
      <c r="C76" s="46">
        <v>0.016988544</v>
      </c>
      <c r="D76" s="32">
        <v>1.095985389</v>
      </c>
      <c r="E76" s="51">
        <f t="shared" si="1"/>
        <v>1.309401508</v>
      </c>
      <c r="F76" s="52">
        <f t="shared" si="2"/>
        <v>0.06059849248</v>
      </c>
      <c r="G76" s="53">
        <f t="shared" si="3"/>
        <v>0.04423247626</v>
      </c>
      <c r="H76" s="53">
        <f t="shared" si="4"/>
        <v>0.04423247626</v>
      </c>
      <c r="I76" s="53">
        <f t="shared" si="5"/>
        <v>0.003672177291</v>
      </c>
    </row>
    <row r="77">
      <c r="A77" s="31">
        <v>1.42</v>
      </c>
      <c r="B77" s="32">
        <v>1.126621506</v>
      </c>
      <c r="C77" s="46">
        <v>0.022212666</v>
      </c>
      <c r="D77" s="32">
        <v>1.10440884</v>
      </c>
      <c r="E77" s="51">
        <f t="shared" si="1"/>
        <v>1.339221988</v>
      </c>
      <c r="F77" s="52">
        <f t="shared" si="2"/>
        <v>0.080778012</v>
      </c>
      <c r="G77" s="53">
        <f t="shared" si="3"/>
        <v>0.05688592394</v>
      </c>
      <c r="H77" s="53">
        <f t="shared" si="4"/>
        <v>0.05688592394</v>
      </c>
      <c r="I77" s="53">
        <f t="shared" si="5"/>
        <v>0.006525087222</v>
      </c>
    </row>
    <row r="78">
      <c r="A78" s="31">
        <v>1.68</v>
      </c>
      <c r="B78" s="32">
        <v>1.192903069</v>
      </c>
      <c r="C78" s="46">
        <v>0.072756713</v>
      </c>
      <c r="D78" s="32">
        <v>1.120146356</v>
      </c>
      <c r="E78" s="51">
        <f t="shared" si="1"/>
        <v>1.396129794</v>
      </c>
      <c r="F78" s="52">
        <f t="shared" si="2"/>
        <v>0.2838702058</v>
      </c>
      <c r="G78" s="53">
        <f t="shared" si="3"/>
        <v>0.1689703606</v>
      </c>
      <c r="H78" s="53">
        <f t="shared" si="4"/>
        <v>0.1689703606</v>
      </c>
      <c r="I78" s="53">
        <f t="shared" si="5"/>
        <v>0.08058229375</v>
      </c>
    </row>
    <row r="79">
      <c r="A79" s="31">
        <v>1.33</v>
      </c>
      <c r="B79" s="32">
        <v>1.101817226</v>
      </c>
      <c r="C79" s="46">
        <v>-0.099634765</v>
      </c>
      <c r="D79" s="32">
        <v>1.201451991</v>
      </c>
      <c r="E79" s="51">
        <f t="shared" si="1"/>
        <v>1.71565773</v>
      </c>
      <c r="F79" s="52">
        <f t="shared" si="2"/>
        <v>-0.3856577299</v>
      </c>
      <c r="G79" s="53">
        <f t="shared" si="3"/>
        <v>-0.289968218</v>
      </c>
      <c r="H79" s="53">
        <f t="shared" si="4"/>
        <v>0.289968218</v>
      </c>
      <c r="I79" s="53">
        <f t="shared" si="5"/>
        <v>0.1487318846</v>
      </c>
    </row>
    <row r="80">
      <c r="A80" s="31">
        <v>1.52</v>
      </c>
      <c r="B80" s="32">
        <v>1.152993396</v>
      </c>
      <c r="C80" s="46">
        <v>0.088441083</v>
      </c>
      <c r="D80" s="32">
        <v>1.064552314</v>
      </c>
      <c r="E80" s="51">
        <f t="shared" si="1"/>
        <v>1.201995843</v>
      </c>
      <c r="F80" s="52">
        <f t="shared" si="2"/>
        <v>0.3180041573</v>
      </c>
      <c r="G80" s="53">
        <f t="shared" si="3"/>
        <v>0.2092132614</v>
      </c>
      <c r="H80" s="53">
        <f t="shared" si="4"/>
        <v>0.2092132614</v>
      </c>
      <c r="I80" s="53">
        <f t="shared" si="5"/>
        <v>0.101126644</v>
      </c>
    </row>
    <row r="81">
      <c r="A81" s="31">
        <v>1.59</v>
      </c>
      <c r="B81" s="32">
        <v>1.170779265</v>
      </c>
      <c r="C81" s="46">
        <v>0.0058093</v>
      </c>
      <c r="D81" s="32">
        <v>1.164969965</v>
      </c>
      <c r="E81" s="51">
        <f t="shared" si="1"/>
        <v>1.566907356</v>
      </c>
      <c r="F81" s="52">
        <f t="shared" si="2"/>
        <v>0.02309264373</v>
      </c>
      <c r="G81" s="53">
        <f t="shared" si="3"/>
        <v>0.0145236753</v>
      </c>
      <c r="H81" s="53">
        <f t="shared" si="4"/>
        <v>0.0145236753</v>
      </c>
      <c r="I81" s="53">
        <f t="shared" si="5"/>
        <v>0.0005332701944</v>
      </c>
    </row>
    <row r="82">
      <c r="A82" s="29">
        <v>1.6</v>
      </c>
      <c r="B82" s="36">
        <f t="shared" ref="B82:B93" si="6">A82^0.34</f>
        <v>1.17327764</v>
      </c>
      <c r="C82" s="37">
        <f t="shared" ref="C82:C93" si="7">B82-D82</f>
        <v>0.01055629622</v>
      </c>
      <c r="D82" s="37">
        <f t="shared" ref="D82:D94" si="8">(2*B81)-B80-($L$1*C81)-($L$2*C80)</f>
        <v>1.162721344</v>
      </c>
      <c r="E82" s="39">
        <f t="shared" si="1"/>
        <v>1.558028601</v>
      </c>
      <c r="F82" s="48">
        <f t="shared" si="2"/>
        <v>0.04197139892</v>
      </c>
      <c r="G82" s="56">
        <f t="shared" si="3"/>
        <v>0.02623212433</v>
      </c>
      <c r="H82" s="56">
        <f t="shared" si="4"/>
        <v>0.02623212433</v>
      </c>
      <c r="I82" s="56">
        <f t="shared" si="5"/>
        <v>0.001761598328</v>
      </c>
    </row>
    <row r="83">
      <c r="A83" s="29">
        <v>1.66</v>
      </c>
      <c r="B83" s="36">
        <f t="shared" si="6"/>
        <v>1.188055557</v>
      </c>
      <c r="C83" s="37">
        <f t="shared" si="7"/>
        <v>0.0212906859</v>
      </c>
      <c r="D83" s="37">
        <f t="shared" si="8"/>
        <v>1.166764871</v>
      </c>
      <c r="E83" s="39">
        <f t="shared" si="1"/>
        <v>1.574018519</v>
      </c>
      <c r="F83" s="48">
        <f t="shared" si="2"/>
        <v>0.08598148079</v>
      </c>
      <c r="G83" s="56">
        <f t="shared" si="3"/>
        <v>0.05179607277</v>
      </c>
      <c r="H83" s="56">
        <f t="shared" si="4"/>
        <v>0.05179607277</v>
      </c>
      <c r="I83" s="56">
        <f t="shared" si="5"/>
        <v>0.007392815039</v>
      </c>
    </row>
    <row r="84">
      <c r="A84" s="29">
        <v>1.75</v>
      </c>
      <c r="B84" s="36">
        <f t="shared" si="6"/>
        <v>1.209575375</v>
      </c>
      <c r="C84" s="37">
        <f t="shared" si="7"/>
        <v>0.02463193866</v>
      </c>
      <c r="D84" s="37">
        <f t="shared" si="8"/>
        <v>1.184943436</v>
      </c>
      <c r="E84" s="39">
        <f t="shared" si="1"/>
        <v>1.647243128</v>
      </c>
      <c r="F84" s="48">
        <f t="shared" si="2"/>
        <v>0.1027568722</v>
      </c>
      <c r="G84" s="56">
        <f t="shared" si="3"/>
        <v>0.05871821267</v>
      </c>
      <c r="H84" s="56">
        <f t="shared" si="4"/>
        <v>0.05871821267</v>
      </c>
      <c r="I84" s="56">
        <f t="shared" si="5"/>
        <v>0.01055897478</v>
      </c>
    </row>
    <row r="85">
      <c r="A85" s="29">
        <v>1.87</v>
      </c>
      <c r="B85" s="36">
        <f t="shared" si="6"/>
        <v>1.237160787</v>
      </c>
      <c r="C85" s="37">
        <f t="shared" si="7"/>
        <v>0.02898725037</v>
      </c>
      <c r="D85" s="37">
        <f t="shared" si="8"/>
        <v>1.208173537</v>
      </c>
      <c r="E85" s="39">
        <f t="shared" si="1"/>
        <v>1.744041522</v>
      </c>
      <c r="F85" s="48">
        <f t="shared" si="2"/>
        <v>0.1259584779</v>
      </c>
      <c r="G85" s="56">
        <f t="shared" si="3"/>
        <v>0.06735747482</v>
      </c>
      <c r="H85" s="56">
        <f t="shared" si="4"/>
        <v>0.06735747482</v>
      </c>
      <c r="I85" s="56">
        <f t="shared" si="5"/>
        <v>0.01586553816</v>
      </c>
    </row>
    <row r="86">
      <c r="A86" s="29">
        <v>2.18</v>
      </c>
      <c r="B86" s="36">
        <f t="shared" si="6"/>
        <v>1.303392471</v>
      </c>
      <c r="C86" s="37">
        <f t="shared" si="7"/>
        <v>0.06551713132</v>
      </c>
      <c r="D86" s="37">
        <f t="shared" si="8"/>
        <v>1.237875339</v>
      </c>
      <c r="E86" s="39">
        <f t="shared" si="1"/>
        <v>1.873178439</v>
      </c>
      <c r="F86" s="48">
        <f t="shared" si="2"/>
        <v>0.3068215612</v>
      </c>
      <c r="G86" s="56">
        <f t="shared" si="3"/>
        <v>0.1407438354</v>
      </c>
      <c r="H86" s="56">
        <f t="shared" si="4"/>
        <v>0.1407438354</v>
      </c>
      <c r="I86" s="56">
        <f t="shared" si="5"/>
        <v>0.09413947041</v>
      </c>
    </row>
    <row r="87">
      <c r="A87" s="29">
        <v>2.06</v>
      </c>
      <c r="B87" s="36">
        <f t="shared" si="6"/>
        <v>1.278541575</v>
      </c>
      <c r="C87" s="37">
        <f t="shared" si="7"/>
        <v>-0.03688698813</v>
      </c>
      <c r="D87" s="37">
        <f t="shared" si="8"/>
        <v>1.315428564</v>
      </c>
      <c r="E87" s="39">
        <f t="shared" si="1"/>
        <v>2.239741242</v>
      </c>
      <c r="F87" s="48">
        <f t="shared" si="2"/>
        <v>-0.1797412423</v>
      </c>
      <c r="G87" s="56">
        <f t="shared" si="3"/>
        <v>-0.08725303023</v>
      </c>
      <c r="H87" s="56">
        <f t="shared" si="4"/>
        <v>0.08725303023</v>
      </c>
      <c r="I87" s="56">
        <f t="shared" si="5"/>
        <v>0.03230691418</v>
      </c>
    </row>
    <row r="88">
      <c r="A88" s="29">
        <v>2.64</v>
      </c>
      <c r="B88" s="36">
        <f t="shared" si="6"/>
        <v>1.39105831</v>
      </c>
      <c r="C88" s="37">
        <f t="shared" si="7"/>
        <v>0.1269049601</v>
      </c>
      <c r="D88" s="37">
        <f t="shared" si="8"/>
        <v>1.26415335</v>
      </c>
      <c r="E88" s="39">
        <f t="shared" si="1"/>
        <v>1.992558399</v>
      </c>
      <c r="F88" s="48">
        <f t="shared" si="2"/>
        <v>0.6474416013</v>
      </c>
      <c r="G88" s="56">
        <f t="shared" si="3"/>
        <v>0.2452430308</v>
      </c>
      <c r="H88" s="56">
        <f t="shared" si="4"/>
        <v>0.2452430308</v>
      </c>
      <c r="I88" s="56">
        <f t="shared" si="5"/>
        <v>0.4191806271</v>
      </c>
    </row>
    <row r="89">
      <c r="A89" s="29">
        <v>3.47</v>
      </c>
      <c r="B89" s="36">
        <f t="shared" si="6"/>
        <v>1.526553472</v>
      </c>
      <c r="C89" s="37">
        <f t="shared" si="7"/>
        <v>0.1051604002</v>
      </c>
      <c r="D89" s="37">
        <f t="shared" si="8"/>
        <v>1.421393072</v>
      </c>
      <c r="E89" s="39">
        <f t="shared" si="1"/>
        <v>2.812933046</v>
      </c>
      <c r="F89" s="48">
        <f t="shared" si="2"/>
        <v>0.6570669539</v>
      </c>
      <c r="G89" s="56">
        <f t="shared" si="3"/>
        <v>0.1893564709</v>
      </c>
      <c r="H89" s="56">
        <f t="shared" si="4"/>
        <v>0.1893564709</v>
      </c>
      <c r="I89" s="56">
        <f t="shared" si="5"/>
        <v>0.4317369818</v>
      </c>
    </row>
    <row r="90">
      <c r="A90" s="29">
        <v>3.55</v>
      </c>
      <c r="B90" s="36">
        <f t="shared" si="6"/>
        <v>1.538429645</v>
      </c>
      <c r="C90" s="37">
        <f t="shared" si="7"/>
        <v>-0.01693797825</v>
      </c>
      <c r="D90" s="37">
        <f t="shared" si="8"/>
        <v>1.555367623</v>
      </c>
      <c r="E90" s="39">
        <f t="shared" si="1"/>
        <v>3.666189134</v>
      </c>
      <c r="F90" s="48">
        <f t="shared" si="2"/>
        <v>-0.1161891339</v>
      </c>
      <c r="G90" s="56">
        <f t="shared" si="3"/>
        <v>-0.03272933349</v>
      </c>
      <c r="H90" s="56">
        <f t="shared" si="4"/>
        <v>0.03272933349</v>
      </c>
      <c r="I90" s="56">
        <f t="shared" si="5"/>
        <v>0.01349991484</v>
      </c>
    </row>
    <row r="91">
      <c r="A91" s="29">
        <v>4.35</v>
      </c>
      <c r="B91" s="36">
        <f t="shared" si="6"/>
        <v>1.648490115</v>
      </c>
      <c r="C91" s="37">
        <f t="shared" si="7"/>
        <v>0.1117735767</v>
      </c>
      <c r="D91" s="37">
        <f t="shared" si="8"/>
        <v>1.536716539</v>
      </c>
      <c r="E91" s="39">
        <f t="shared" si="1"/>
        <v>3.53838587</v>
      </c>
      <c r="F91" s="48">
        <f t="shared" si="2"/>
        <v>0.8116141304</v>
      </c>
      <c r="G91" s="56">
        <f t="shared" si="3"/>
        <v>0.186577961</v>
      </c>
      <c r="H91" s="56">
        <f t="shared" si="4"/>
        <v>0.186577961</v>
      </c>
      <c r="I91" s="56">
        <f t="shared" si="5"/>
        <v>0.6587174966</v>
      </c>
    </row>
    <row r="92">
      <c r="A92" s="29">
        <v>4.94</v>
      </c>
      <c r="B92" s="36">
        <f t="shared" si="6"/>
        <v>1.721341989</v>
      </c>
      <c r="C92" s="37">
        <f t="shared" si="7"/>
        <v>0.0389844455</v>
      </c>
      <c r="D92" s="37">
        <f t="shared" si="8"/>
        <v>1.682357543</v>
      </c>
      <c r="E92" s="39">
        <f t="shared" si="1"/>
        <v>4.618123975</v>
      </c>
      <c r="F92" s="48">
        <f t="shared" si="2"/>
        <v>0.321876025</v>
      </c>
      <c r="G92" s="56">
        <f t="shared" si="3"/>
        <v>0.06515709008</v>
      </c>
      <c r="H92" s="56">
        <f t="shared" si="4"/>
        <v>0.06515709008</v>
      </c>
      <c r="I92" s="56">
        <f t="shared" si="5"/>
        <v>0.1036041755</v>
      </c>
    </row>
    <row r="93">
      <c r="A93" s="29">
        <v>4.69</v>
      </c>
      <c r="B93" s="36">
        <f t="shared" si="6"/>
        <v>1.691214784</v>
      </c>
      <c r="C93" s="37">
        <f t="shared" si="7"/>
        <v>-0.04757253204</v>
      </c>
      <c r="D93" s="37">
        <f t="shared" si="8"/>
        <v>1.738787316</v>
      </c>
      <c r="E93" s="39">
        <f t="shared" si="1"/>
        <v>5.088704659</v>
      </c>
      <c r="F93" s="48">
        <f t="shared" si="2"/>
        <v>-0.398704659</v>
      </c>
      <c r="G93" s="56">
        <f t="shared" si="3"/>
        <v>-0.08501165438</v>
      </c>
      <c r="H93" s="56">
        <f t="shared" si="4"/>
        <v>0.08501165438</v>
      </c>
      <c r="I93" s="56">
        <f t="shared" si="5"/>
        <v>0.1589654051</v>
      </c>
      <c r="J93" s="57" t="s">
        <v>55</v>
      </c>
      <c r="K93" s="57" t="s">
        <v>56</v>
      </c>
    </row>
    <row r="94">
      <c r="D94" s="49">
        <f t="shared" si="8"/>
        <v>1.685731527</v>
      </c>
      <c r="E94" s="58">
        <f t="shared" si="1"/>
        <v>4.645417298</v>
      </c>
      <c r="J94" s="35">
        <v>1.6919</v>
      </c>
      <c r="K94" s="55">
        <f t="shared" ref="K94:K105" si="9">J94^(1/0.34)</f>
        <v>4.695591048</v>
      </c>
    </row>
    <row r="95">
      <c r="E95" s="41">
        <f>average(E82:E93)</f>
        <v>2.696095544</v>
      </c>
      <c r="J95" s="35">
        <v>1.70214</v>
      </c>
      <c r="K95" s="55">
        <f t="shared" si="9"/>
        <v>4.779669589</v>
      </c>
    </row>
    <row r="96">
      <c r="C96" s="40" t="s">
        <v>39</v>
      </c>
      <c r="D96" s="41"/>
      <c r="F96" s="40" t="s">
        <v>10</v>
      </c>
      <c r="G96" s="41"/>
      <c r="J96" s="35">
        <v>1.71238</v>
      </c>
      <c r="K96" s="55">
        <f t="shared" si="9"/>
        <v>4.864735757</v>
      </c>
    </row>
    <row r="97">
      <c r="C97" s="42" t="s">
        <v>40</v>
      </c>
      <c r="D97" s="43">
        <f>AVERAGE(H4:H81)*100</f>
        <v>8.149943377</v>
      </c>
      <c r="F97" s="42" t="s">
        <v>40</v>
      </c>
      <c r="G97" s="43">
        <f>AVERAGE(H82:H93)*100</f>
        <v>10.30146909</v>
      </c>
      <c r="J97" s="35">
        <v>1.72262</v>
      </c>
      <c r="K97" s="55">
        <f t="shared" si="9"/>
        <v>4.950795145</v>
      </c>
    </row>
    <row r="98">
      <c r="C98" s="42" t="s">
        <v>41</v>
      </c>
      <c r="D98" s="43">
        <f>SUM(H3:H81)/12</f>
        <v>0.5297463195</v>
      </c>
      <c r="F98" s="42" t="s">
        <v>41</v>
      </c>
      <c r="G98" s="43">
        <f>SUM(H82:H93)/12</f>
        <v>0.1030146909</v>
      </c>
      <c r="J98" s="35">
        <v>1.73286</v>
      </c>
      <c r="K98" s="55">
        <f t="shared" si="9"/>
        <v>5.03785334</v>
      </c>
    </row>
    <row r="99">
      <c r="C99" s="42" t="s">
        <v>42</v>
      </c>
      <c r="D99" s="43">
        <f>SQRT(D98)</f>
        <v>0.7278367396</v>
      </c>
      <c r="F99" s="42" t="s">
        <v>42</v>
      </c>
      <c r="G99" s="43">
        <f>SQRT(G98)</f>
        <v>0.3209590175</v>
      </c>
      <c r="J99" s="35">
        <v>1.7431</v>
      </c>
      <c r="K99" s="55">
        <f t="shared" si="9"/>
        <v>5.12591593</v>
      </c>
    </row>
    <row r="100">
      <c r="C100" s="42" t="s">
        <v>43</v>
      </c>
      <c r="D100" s="44">
        <f>SUM(F4:F81)/12</f>
        <v>0.1795760425</v>
      </c>
      <c r="F100" s="42" t="s">
        <v>43</v>
      </c>
      <c r="G100" s="44">
        <f>SUM(F82:F93)/12</f>
        <v>0.2005711222</v>
      </c>
      <c r="J100" s="35">
        <v>1.75334</v>
      </c>
      <c r="K100" s="55">
        <f t="shared" si="9"/>
        <v>5.214988501</v>
      </c>
    </row>
    <row r="101">
      <c r="C101" s="42" t="s">
        <v>44</v>
      </c>
      <c r="D101" s="44">
        <f>(SUM(G4:G81)/12)*100</f>
        <v>2.537629316</v>
      </c>
      <c r="F101" s="42" t="s">
        <v>44</v>
      </c>
      <c r="G101" s="44">
        <f>(SUM(G82:G93)/12)*100</f>
        <v>6.884902122</v>
      </c>
      <c r="J101" s="35">
        <v>1.76357</v>
      </c>
      <c r="K101" s="55">
        <f t="shared" si="9"/>
        <v>5.30498816</v>
      </c>
    </row>
    <row r="102">
      <c r="J102" s="35">
        <v>1.77381</v>
      </c>
      <c r="K102" s="55">
        <f t="shared" si="9"/>
        <v>5.396096439</v>
      </c>
    </row>
    <row r="103">
      <c r="J103" s="35">
        <v>1.78405</v>
      </c>
      <c r="K103" s="55">
        <f t="shared" si="9"/>
        <v>5.488231436</v>
      </c>
    </row>
    <row r="104">
      <c r="J104" s="35">
        <v>1.79429</v>
      </c>
      <c r="K104" s="55">
        <f t="shared" si="9"/>
        <v>5.581398729</v>
      </c>
    </row>
    <row r="105">
      <c r="J105" s="35">
        <v>1.80453</v>
      </c>
      <c r="K105" s="55">
        <f t="shared" si="9"/>
        <v>5.675603894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0"/>
    <col customWidth="1" min="6" max="6" width="16.14"/>
    <col customWidth="1" min="7" max="7" width="18.86"/>
    <col customWidth="1" min="8" max="8" width="22.29"/>
    <col customWidth="1" min="9" max="9" width="17.57"/>
  </cols>
  <sheetData>
    <row r="1">
      <c r="A1" s="28" t="s">
        <v>31</v>
      </c>
      <c r="B1" s="28" t="s">
        <v>6</v>
      </c>
      <c r="C1" s="29" t="s">
        <v>57</v>
      </c>
      <c r="D1" s="59" t="s">
        <v>46</v>
      </c>
      <c r="E1" s="29" t="s">
        <v>33</v>
      </c>
      <c r="F1" s="29" t="s">
        <v>34</v>
      </c>
      <c r="G1" s="29" t="s">
        <v>58</v>
      </c>
      <c r="H1" s="29" t="s">
        <v>36</v>
      </c>
      <c r="I1" s="30" t="s">
        <v>37</v>
      </c>
    </row>
    <row r="2">
      <c r="A2" s="31">
        <v>6.96</v>
      </c>
      <c r="B2" s="32">
        <v>1.934136592</v>
      </c>
      <c r="C2" s="31" t="s">
        <v>13</v>
      </c>
      <c r="D2" s="46" t="s">
        <v>13</v>
      </c>
      <c r="E2" s="31" t="s">
        <v>13</v>
      </c>
      <c r="F2" s="31" t="s">
        <v>13</v>
      </c>
      <c r="G2" s="31" t="s">
        <v>13</v>
      </c>
      <c r="H2" s="31" t="s">
        <v>13</v>
      </c>
      <c r="I2" s="31" t="s">
        <v>13</v>
      </c>
    </row>
    <row r="3">
      <c r="A3" s="31">
        <v>6.29</v>
      </c>
      <c r="B3" s="32">
        <v>1.86870703</v>
      </c>
      <c r="C3" s="31" t="s">
        <v>13</v>
      </c>
      <c r="D3" s="46" t="s">
        <v>13</v>
      </c>
      <c r="E3" s="31" t="s">
        <v>13</v>
      </c>
      <c r="F3" s="31" t="s">
        <v>13</v>
      </c>
      <c r="G3" s="31" t="s">
        <v>13</v>
      </c>
      <c r="H3" s="31" t="s">
        <v>13</v>
      </c>
      <c r="I3" s="31" t="s">
        <v>13</v>
      </c>
      <c r="O3" s="60"/>
    </row>
    <row r="4">
      <c r="A4" s="31">
        <v>6.38</v>
      </c>
      <c r="B4" s="32">
        <v>1.877755448</v>
      </c>
      <c r="C4" s="46">
        <v>0.052187715</v>
      </c>
      <c r="D4" s="61">
        <v>1.825567733</v>
      </c>
      <c r="E4" s="34">
        <f t="shared" ref="E4:E93" si="1">D4^(1/0.34)</f>
        <v>5.872425324</v>
      </c>
      <c r="F4" s="34">
        <f t="shared" ref="F4:F93" si="2">A4-E4</f>
        <v>0.5075746759</v>
      </c>
      <c r="G4" s="34">
        <f t="shared" ref="G4:G93" si="3">F4/B4</f>
        <v>0.2703092548</v>
      </c>
      <c r="H4" s="34">
        <f t="shared" ref="H4:H93" si="4">ABS(F4)/B4</f>
        <v>0.2703092548</v>
      </c>
      <c r="I4" s="34">
        <f t="shared" ref="I4:I93" si="5">F4^2</f>
        <v>0.2576320516</v>
      </c>
      <c r="K4" s="35" t="s">
        <v>50</v>
      </c>
      <c r="O4" s="60"/>
    </row>
    <row r="5">
      <c r="A5" s="31">
        <v>6.79</v>
      </c>
      <c r="B5" s="32">
        <v>1.91794312</v>
      </c>
      <c r="C5" s="46">
        <v>0.050733809</v>
      </c>
      <c r="D5" s="61">
        <v>1.867209311</v>
      </c>
      <c r="E5" s="34">
        <f t="shared" si="1"/>
        <v>6.275184271</v>
      </c>
      <c r="F5" s="34">
        <f t="shared" si="2"/>
        <v>0.5148157293</v>
      </c>
      <c r="G5" s="34">
        <f t="shared" si="3"/>
        <v>0.2684207492</v>
      </c>
      <c r="H5" s="34">
        <f t="shared" si="4"/>
        <v>0.2684207492</v>
      </c>
      <c r="I5" s="34">
        <f t="shared" si="5"/>
        <v>0.2650352351</v>
      </c>
      <c r="O5" s="60"/>
    </row>
    <row r="6">
      <c r="A6" s="31">
        <v>7.15</v>
      </c>
      <c r="B6" s="32">
        <v>1.95192917</v>
      </c>
      <c r="C6" s="46">
        <v>0.033191719</v>
      </c>
      <c r="D6" s="61">
        <v>1.918737451</v>
      </c>
      <c r="E6" s="34">
        <f t="shared" si="1"/>
        <v>6.798274299</v>
      </c>
      <c r="F6" s="34">
        <f t="shared" si="2"/>
        <v>0.3517257011</v>
      </c>
      <c r="G6" s="34">
        <f t="shared" si="3"/>
        <v>0.1801938854</v>
      </c>
      <c r="H6" s="34">
        <f t="shared" si="4"/>
        <v>0.1801938854</v>
      </c>
      <c r="I6" s="34">
        <f t="shared" si="5"/>
        <v>0.1237109688</v>
      </c>
      <c r="O6" s="60"/>
    </row>
    <row r="7">
      <c r="A7" s="31">
        <v>7.26</v>
      </c>
      <c r="B7" s="32">
        <v>1.962087862</v>
      </c>
      <c r="C7" s="46">
        <v>-0.016303055</v>
      </c>
      <c r="D7" s="61">
        <v>1.978390917</v>
      </c>
      <c r="E7" s="34">
        <f t="shared" si="1"/>
        <v>7.4388569</v>
      </c>
      <c r="F7" s="34">
        <f t="shared" si="2"/>
        <v>-0.1788568995</v>
      </c>
      <c r="G7" s="34">
        <f t="shared" si="3"/>
        <v>-0.09115641709</v>
      </c>
      <c r="H7" s="34">
        <f t="shared" si="4"/>
        <v>0.09115641709</v>
      </c>
      <c r="I7" s="34">
        <f t="shared" si="5"/>
        <v>0.0319897905</v>
      </c>
      <c r="O7" s="60"/>
    </row>
    <row r="8">
      <c r="A8" s="31">
        <v>7.26</v>
      </c>
      <c r="B8" s="32">
        <v>1.962087862</v>
      </c>
      <c r="C8" s="46">
        <v>-0.023322103</v>
      </c>
      <c r="D8" s="61">
        <v>1.985409965</v>
      </c>
      <c r="E8" s="34">
        <f t="shared" si="1"/>
        <v>7.516748025</v>
      </c>
      <c r="F8" s="34">
        <f t="shared" si="2"/>
        <v>-0.2567480245</v>
      </c>
      <c r="G8" s="34">
        <f t="shared" si="3"/>
        <v>-0.1308544992</v>
      </c>
      <c r="H8" s="34">
        <f t="shared" si="4"/>
        <v>0.1308544992</v>
      </c>
      <c r="I8" s="34">
        <f t="shared" si="5"/>
        <v>0.0659195481</v>
      </c>
      <c r="O8" s="60"/>
    </row>
    <row r="9">
      <c r="A9" s="31">
        <v>7.18</v>
      </c>
      <c r="B9" s="32">
        <v>1.954709893</v>
      </c>
      <c r="C9" s="46">
        <v>-0.020072321</v>
      </c>
      <c r="D9" s="61">
        <v>1.974782215</v>
      </c>
      <c r="E9" s="34">
        <f t="shared" si="1"/>
        <v>7.399018941</v>
      </c>
      <c r="F9" s="34">
        <f t="shared" si="2"/>
        <v>-0.2190189407</v>
      </c>
      <c r="G9" s="34">
        <f t="shared" si="3"/>
        <v>-0.1120467756</v>
      </c>
      <c r="H9" s="34">
        <f t="shared" si="4"/>
        <v>0.1120467756</v>
      </c>
      <c r="I9" s="34">
        <f t="shared" si="5"/>
        <v>0.0479692964</v>
      </c>
      <c r="O9" s="60"/>
    </row>
    <row r="10">
      <c r="A10" s="31">
        <v>6.83</v>
      </c>
      <c r="B10" s="32">
        <v>1.921777212</v>
      </c>
      <c r="C10" s="46">
        <v>-0.032385002</v>
      </c>
      <c r="D10" s="61">
        <v>1.954162213</v>
      </c>
      <c r="E10" s="34">
        <f t="shared" si="1"/>
        <v>7.174084762</v>
      </c>
      <c r="F10" s="34">
        <f t="shared" si="2"/>
        <v>-0.3440847622</v>
      </c>
      <c r="G10" s="34">
        <f t="shared" si="3"/>
        <v>-0.1790450839</v>
      </c>
      <c r="H10" s="34">
        <f t="shared" si="4"/>
        <v>0.1790450839</v>
      </c>
      <c r="I10" s="34">
        <f t="shared" si="5"/>
        <v>0.1183943236</v>
      </c>
      <c r="O10" s="60"/>
    </row>
    <row r="11">
      <c r="A11" s="31">
        <v>6.25</v>
      </c>
      <c r="B11" s="32">
        <v>1.864658073</v>
      </c>
      <c r="C11" s="46">
        <v>-0.038547122</v>
      </c>
      <c r="D11" s="61">
        <v>1.903205196</v>
      </c>
      <c r="E11" s="34">
        <f t="shared" si="1"/>
        <v>6.637683094</v>
      </c>
      <c r="F11" s="34">
        <f t="shared" si="2"/>
        <v>-0.3876830942</v>
      </c>
      <c r="G11" s="34">
        <f t="shared" si="3"/>
        <v>-0.207911091</v>
      </c>
      <c r="H11" s="34">
        <f t="shared" si="4"/>
        <v>0.207911091</v>
      </c>
      <c r="I11" s="34">
        <f t="shared" si="5"/>
        <v>0.1502981815</v>
      </c>
      <c r="O11" s="60"/>
    </row>
    <row r="12">
      <c r="A12" s="31">
        <v>4.89</v>
      </c>
      <c r="B12" s="32">
        <v>1.715398445</v>
      </c>
      <c r="C12" s="46">
        <v>-0.111941328</v>
      </c>
      <c r="D12" s="61">
        <v>1.827339773</v>
      </c>
      <c r="E12" s="34">
        <f t="shared" si="1"/>
        <v>5.889206533</v>
      </c>
      <c r="F12" s="34">
        <f t="shared" si="2"/>
        <v>-0.9992065332</v>
      </c>
      <c r="G12" s="34">
        <f t="shared" si="3"/>
        <v>-0.582492386</v>
      </c>
      <c r="H12" s="34">
        <f t="shared" si="4"/>
        <v>0.582492386</v>
      </c>
      <c r="I12" s="34">
        <f t="shared" si="5"/>
        <v>0.9984136961</v>
      </c>
      <c r="K12" s="35" t="s">
        <v>15</v>
      </c>
      <c r="O12" s="60"/>
    </row>
    <row r="13">
      <c r="A13" s="31">
        <v>3.35</v>
      </c>
      <c r="B13" s="32">
        <v>1.508395522</v>
      </c>
      <c r="C13" s="46">
        <v>-0.108714718</v>
      </c>
      <c r="D13" s="61">
        <v>1.61711024</v>
      </c>
      <c r="E13" s="34">
        <f t="shared" si="1"/>
        <v>4.110929983</v>
      </c>
      <c r="F13" s="34">
        <f t="shared" si="2"/>
        <v>-0.7609299832</v>
      </c>
      <c r="G13" s="34">
        <f t="shared" si="3"/>
        <v>-0.5044631677</v>
      </c>
      <c r="H13" s="34">
        <f t="shared" si="4"/>
        <v>0.5044631677</v>
      </c>
      <c r="I13" s="34">
        <f t="shared" si="5"/>
        <v>0.5790144393</v>
      </c>
      <c r="O13" s="60"/>
    </row>
    <row r="14">
      <c r="A14" s="31">
        <v>4.14</v>
      </c>
      <c r="B14" s="32">
        <v>1.62098918</v>
      </c>
      <c r="C14" s="46">
        <v>0.261915768</v>
      </c>
      <c r="D14" s="61">
        <v>1.359073412</v>
      </c>
      <c r="E14" s="34">
        <f t="shared" si="1"/>
        <v>2.465420088</v>
      </c>
      <c r="F14" s="34">
        <f t="shared" si="2"/>
        <v>1.674579912</v>
      </c>
      <c r="G14" s="34">
        <f t="shared" si="3"/>
        <v>1.033060512</v>
      </c>
      <c r="H14" s="34">
        <f t="shared" si="4"/>
        <v>1.033060512</v>
      </c>
      <c r="I14" s="34">
        <f t="shared" si="5"/>
        <v>2.80421788</v>
      </c>
      <c r="O14" s="60"/>
    </row>
    <row r="15">
      <c r="A15" s="31">
        <v>4.42</v>
      </c>
      <c r="B15" s="32">
        <v>1.657461967</v>
      </c>
      <c r="C15" s="46">
        <v>0.053324611</v>
      </c>
      <c r="D15" s="61">
        <v>1.604137356</v>
      </c>
      <c r="E15" s="34">
        <f t="shared" si="1"/>
        <v>4.014686383</v>
      </c>
      <c r="F15" s="34">
        <f t="shared" si="2"/>
        <v>0.4053136174</v>
      </c>
      <c r="G15" s="34">
        <f t="shared" si="3"/>
        <v>0.2445387137</v>
      </c>
      <c r="H15" s="34">
        <f t="shared" si="4"/>
        <v>0.2445387137</v>
      </c>
      <c r="I15" s="34">
        <f t="shared" si="5"/>
        <v>0.1642791284</v>
      </c>
      <c r="O15" s="60"/>
    </row>
    <row r="16">
      <c r="A16" s="31">
        <v>4.45</v>
      </c>
      <c r="B16" s="32">
        <v>1.661278344</v>
      </c>
      <c r="C16" s="46">
        <v>0.038764696</v>
      </c>
      <c r="D16" s="61">
        <v>1.622513648</v>
      </c>
      <c r="E16" s="34">
        <f t="shared" si="1"/>
        <v>4.151461883</v>
      </c>
      <c r="F16" s="34">
        <f t="shared" si="2"/>
        <v>0.2985381171</v>
      </c>
      <c r="G16" s="34">
        <f t="shared" si="3"/>
        <v>0.1797038517</v>
      </c>
      <c r="H16" s="34">
        <f t="shared" si="4"/>
        <v>0.1797038517</v>
      </c>
      <c r="I16" s="34">
        <f t="shared" si="5"/>
        <v>0.08912500737</v>
      </c>
      <c r="O16" s="60"/>
    </row>
    <row r="17">
      <c r="A17" s="31">
        <v>3.6</v>
      </c>
      <c r="B17" s="32">
        <v>1.545762796</v>
      </c>
      <c r="C17" s="46">
        <v>-0.159980666</v>
      </c>
      <c r="D17" s="61">
        <v>1.705743461</v>
      </c>
      <c r="E17" s="34">
        <f t="shared" si="1"/>
        <v>4.809491505</v>
      </c>
      <c r="F17" s="34">
        <f t="shared" si="2"/>
        <v>-1.209491505</v>
      </c>
      <c r="G17" s="34">
        <f t="shared" si="3"/>
        <v>-0.7824560847</v>
      </c>
      <c r="H17" s="34">
        <f t="shared" si="4"/>
        <v>0.7824560847</v>
      </c>
      <c r="I17" s="34">
        <f t="shared" si="5"/>
        <v>1.462869701</v>
      </c>
      <c r="O17" s="60"/>
    </row>
    <row r="18">
      <c r="A18" s="31">
        <v>3.33</v>
      </c>
      <c r="B18" s="32">
        <v>1.505327652</v>
      </c>
      <c r="C18" s="46">
        <v>0.00862145</v>
      </c>
      <c r="D18" s="61">
        <v>1.496706202</v>
      </c>
      <c r="E18" s="34">
        <f t="shared" si="1"/>
        <v>3.274217492</v>
      </c>
      <c r="F18" s="34">
        <f t="shared" si="2"/>
        <v>0.05578250784</v>
      </c>
      <c r="G18" s="34">
        <f t="shared" si="3"/>
        <v>0.03705672168</v>
      </c>
      <c r="H18" s="34">
        <f t="shared" si="4"/>
        <v>0.03705672168</v>
      </c>
      <c r="I18" s="34">
        <f t="shared" si="5"/>
        <v>0.003111688181</v>
      </c>
      <c r="O18" s="60"/>
    </row>
    <row r="19">
      <c r="A19" s="31">
        <v>3.45</v>
      </c>
      <c r="B19" s="32">
        <v>1.523556247</v>
      </c>
      <c r="C19" s="46">
        <v>0.053712552</v>
      </c>
      <c r="D19" s="61">
        <v>1.469843695</v>
      </c>
      <c r="E19" s="34">
        <f t="shared" si="1"/>
        <v>3.104373602</v>
      </c>
      <c r="F19" s="34">
        <f t="shared" si="2"/>
        <v>0.3456263982</v>
      </c>
      <c r="G19" s="34">
        <f t="shared" si="3"/>
        <v>0.22685503</v>
      </c>
      <c r="H19" s="34">
        <f t="shared" si="4"/>
        <v>0.22685503</v>
      </c>
      <c r="I19" s="34">
        <f t="shared" si="5"/>
        <v>0.1194576071</v>
      </c>
      <c r="O19" s="60"/>
    </row>
    <row r="20">
      <c r="A20" s="31">
        <v>3.21</v>
      </c>
      <c r="B20" s="32">
        <v>1.486660187</v>
      </c>
      <c r="C20" s="46">
        <v>-0.002719111</v>
      </c>
      <c r="D20" s="61">
        <v>1.489379297</v>
      </c>
      <c r="E20" s="34">
        <f t="shared" si="1"/>
        <v>3.22729864</v>
      </c>
      <c r="F20" s="34">
        <f t="shared" si="2"/>
        <v>-0.01729863969</v>
      </c>
      <c r="G20" s="34">
        <f t="shared" si="3"/>
        <v>-0.01163590701</v>
      </c>
      <c r="H20" s="34">
        <f t="shared" si="4"/>
        <v>0.01163590701</v>
      </c>
      <c r="I20" s="34">
        <f t="shared" si="5"/>
        <v>0.0002992429352</v>
      </c>
      <c r="O20" s="60"/>
    </row>
    <row r="21">
      <c r="A21" s="31">
        <v>2.79</v>
      </c>
      <c r="B21" s="32">
        <v>1.417442431</v>
      </c>
      <c r="C21" s="46">
        <v>-0.038365554</v>
      </c>
      <c r="D21" s="61">
        <v>1.455807985</v>
      </c>
      <c r="E21" s="34">
        <f t="shared" si="1"/>
        <v>3.017990947</v>
      </c>
      <c r="F21" s="34">
        <f t="shared" si="2"/>
        <v>-0.2279909471</v>
      </c>
      <c r="G21" s="34">
        <f t="shared" si="3"/>
        <v>-0.1608467068</v>
      </c>
      <c r="H21" s="34">
        <f t="shared" si="4"/>
        <v>0.1608467068</v>
      </c>
      <c r="I21" s="34">
        <f t="shared" si="5"/>
        <v>0.05197987197</v>
      </c>
      <c r="K21" s="35" t="s">
        <v>21</v>
      </c>
      <c r="O21" s="60"/>
    </row>
    <row r="22">
      <c r="A22" s="31">
        <v>3.07</v>
      </c>
      <c r="B22" s="32">
        <v>1.464289835</v>
      </c>
      <c r="C22" s="46">
        <v>0.082591841</v>
      </c>
      <c r="D22" s="61">
        <v>1.381697995</v>
      </c>
      <c r="E22" s="34">
        <f t="shared" si="1"/>
        <v>2.588092453</v>
      </c>
      <c r="F22" s="34">
        <f t="shared" si="2"/>
        <v>0.4819075465</v>
      </c>
      <c r="G22" s="34">
        <f t="shared" si="3"/>
        <v>0.3291066666</v>
      </c>
      <c r="H22" s="34">
        <f t="shared" si="4"/>
        <v>0.3291066666</v>
      </c>
      <c r="I22" s="34">
        <f t="shared" si="5"/>
        <v>0.2322348834</v>
      </c>
      <c r="O22" s="60"/>
    </row>
    <row r="23">
      <c r="A23" s="31">
        <v>3.31</v>
      </c>
      <c r="B23" s="32">
        <v>1.502247597</v>
      </c>
      <c r="C23" s="46">
        <v>0.034324818</v>
      </c>
      <c r="D23" s="61">
        <v>1.467922779</v>
      </c>
      <c r="E23" s="34">
        <f t="shared" si="1"/>
        <v>3.092456208</v>
      </c>
      <c r="F23" s="34">
        <f t="shared" si="2"/>
        <v>0.2175437918</v>
      </c>
      <c r="G23" s="34">
        <f t="shared" si="3"/>
        <v>0.1448122082</v>
      </c>
      <c r="H23" s="34">
        <f t="shared" si="4"/>
        <v>0.1448122082</v>
      </c>
      <c r="I23" s="34">
        <f t="shared" si="5"/>
        <v>0.04732530133</v>
      </c>
      <c r="O23" s="60"/>
    </row>
    <row r="24">
      <c r="A24" s="31">
        <v>3.58</v>
      </c>
      <c r="B24" s="32">
        <v>1.542837652</v>
      </c>
      <c r="C24" s="46">
        <v>0.037298656</v>
      </c>
      <c r="D24" s="61">
        <v>1.505538996</v>
      </c>
      <c r="E24" s="34">
        <f t="shared" si="1"/>
        <v>3.331375257</v>
      </c>
      <c r="F24" s="34">
        <f t="shared" si="2"/>
        <v>0.2486247434</v>
      </c>
      <c r="G24" s="34">
        <f t="shared" si="3"/>
        <v>0.1611477028</v>
      </c>
      <c r="H24" s="34">
        <f t="shared" si="4"/>
        <v>0.1611477028</v>
      </c>
      <c r="I24" s="34">
        <f t="shared" si="5"/>
        <v>0.06181426302</v>
      </c>
      <c r="O24" s="60"/>
    </row>
    <row r="25">
      <c r="A25" s="31">
        <v>3.02</v>
      </c>
      <c r="B25" s="32">
        <v>1.456137413</v>
      </c>
      <c r="C25" s="46">
        <v>-0.1290372</v>
      </c>
      <c r="D25" s="61">
        <v>1.585174613</v>
      </c>
      <c r="E25" s="34">
        <f t="shared" si="1"/>
        <v>3.876699011</v>
      </c>
      <c r="F25" s="34">
        <f t="shared" si="2"/>
        <v>-0.856699011</v>
      </c>
      <c r="G25" s="34">
        <f t="shared" si="3"/>
        <v>-0.5883366524</v>
      </c>
      <c r="H25" s="34">
        <f t="shared" si="4"/>
        <v>0.5883366524</v>
      </c>
      <c r="I25" s="34">
        <f t="shared" si="5"/>
        <v>0.7339331954</v>
      </c>
      <c r="O25" s="60"/>
    </row>
    <row r="26">
      <c r="A26" s="31">
        <v>3.49</v>
      </c>
      <c r="B26" s="32">
        <v>1.529539317</v>
      </c>
      <c r="C26" s="46">
        <v>0.101737123</v>
      </c>
      <c r="D26" s="61">
        <v>1.427802194</v>
      </c>
      <c r="E26" s="34">
        <f t="shared" si="1"/>
        <v>2.850401347</v>
      </c>
      <c r="F26" s="34">
        <f t="shared" si="2"/>
        <v>0.6395986527</v>
      </c>
      <c r="G26" s="34">
        <f t="shared" si="3"/>
        <v>0.4181642443</v>
      </c>
      <c r="H26" s="34">
        <f t="shared" si="4"/>
        <v>0.4181642443</v>
      </c>
      <c r="I26" s="34">
        <f t="shared" si="5"/>
        <v>0.4090864365</v>
      </c>
      <c r="O26" s="60"/>
    </row>
    <row r="27">
      <c r="A27" s="31">
        <v>3.83</v>
      </c>
      <c r="B27" s="32">
        <v>1.578656286</v>
      </c>
      <c r="C27" s="46">
        <v>0.007675068</v>
      </c>
      <c r="D27" s="61">
        <v>1.570981218</v>
      </c>
      <c r="E27" s="34">
        <f t="shared" si="1"/>
        <v>3.7754916</v>
      </c>
      <c r="F27" s="34">
        <f t="shared" si="2"/>
        <v>0.05450840036</v>
      </c>
      <c r="G27" s="34">
        <f t="shared" si="3"/>
        <v>0.03452835227</v>
      </c>
      <c r="H27" s="34">
        <f t="shared" si="4"/>
        <v>0.03452835227</v>
      </c>
      <c r="I27" s="34">
        <f t="shared" si="5"/>
        <v>0.00297116571</v>
      </c>
      <c r="O27" s="60"/>
    </row>
    <row r="28">
      <c r="A28" s="31">
        <v>3.61</v>
      </c>
      <c r="B28" s="32">
        <v>1.547221347</v>
      </c>
      <c r="C28" s="46">
        <v>-0.038328199</v>
      </c>
      <c r="D28" s="61">
        <v>1.585549546</v>
      </c>
      <c r="E28" s="34">
        <f t="shared" si="1"/>
        <v>3.879396498</v>
      </c>
      <c r="F28" s="34">
        <f t="shared" si="2"/>
        <v>-0.2693964983</v>
      </c>
      <c r="G28" s="34">
        <f t="shared" si="3"/>
        <v>-0.1741163272</v>
      </c>
      <c r="H28" s="34">
        <f t="shared" si="4"/>
        <v>0.1741163272</v>
      </c>
      <c r="I28" s="34">
        <f t="shared" si="5"/>
        <v>0.07257447331</v>
      </c>
      <c r="O28" s="60"/>
    </row>
    <row r="29">
      <c r="A29" s="31">
        <v>4.17</v>
      </c>
      <c r="B29" s="32">
        <v>1.624973409</v>
      </c>
      <c r="C29" s="46">
        <v>0.06357636</v>
      </c>
      <c r="D29" s="61">
        <v>1.561397049</v>
      </c>
      <c r="E29" s="34">
        <f t="shared" si="1"/>
        <v>3.708146845</v>
      </c>
      <c r="F29" s="34">
        <f t="shared" si="2"/>
        <v>0.4618531547</v>
      </c>
      <c r="G29" s="34">
        <f t="shared" si="3"/>
        <v>0.2842219769</v>
      </c>
      <c r="H29" s="34">
        <f t="shared" si="4"/>
        <v>0.2842219769</v>
      </c>
      <c r="I29" s="34">
        <f t="shared" si="5"/>
        <v>0.2133083365</v>
      </c>
      <c r="O29" s="60"/>
    </row>
    <row r="30">
      <c r="A30" s="31">
        <v>4.33</v>
      </c>
      <c r="B30" s="32">
        <v>1.645909245</v>
      </c>
      <c r="C30" s="46">
        <v>-0.032927821</v>
      </c>
      <c r="D30" s="61">
        <v>1.678837066</v>
      </c>
      <c r="E30" s="34">
        <f t="shared" si="1"/>
        <v>4.589758666</v>
      </c>
      <c r="F30" s="34">
        <f t="shared" si="2"/>
        <v>-0.2597586657</v>
      </c>
      <c r="G30" s="34">
        <f t="shared" si="3"/>
        <v>-0.1578207708</v>
      </c>
      <c r="H30" s="34">
        <f t="shared" si="4"/>
        <v>0.1578207708</v>
      </c>
      <c r="I30" s="34">
        <f t="shared" si="5"/>
        <v>0.0674745644</v>
      </c>
      <c r="O30" s="60"/>
    </row>
    <row r="31">
      <c r="A31" s="31">
        <v>4.37</v>
      </c>
      <c r="B31" s="32">
        <v>1.651063165</v>
      </c>
      <c r="C31" s="46">
        <v>-0.00572172</v>
      </c>
      <c r="D31" s="61">
        <v>1.656784885</v>
      </c>
      <c r="E31" s="34">
        <f t="shared" si="1"/>
        <v>4.414691538</v>
      </c>
      <c r="F31" s="34">
        <f t="shared" si="2"/>
        <v>-0.04469153824</v>
      </c>
      <c r="G31" s="34">
        <f t="shared" si="3"/>
        <v>-0.02706833947</v>
      </c>
      <c r="H31" s="34">
        <f t="shared" si="4"/>
        <v>0.02706833947</v>
      </c>
      <c r="I31" s="34">
        <f t="shared" si="5"/>
        <v>0.00199733359</v>
      </c>
      <c r="O31" s="60"/>
    </row>
    <row r="32">
      <c r="A32" s="31">
        <v>3.88</v>
      </c>
      <c r="B32" s="32">
        <v>1.585633405</v>
      </c>
      <c r="C32" s="46">
        <v>-0.096924386</v>
      </c>
      <c r="D32" s="61">
        <v>1.682557791</v>
      </c>
      <c r="E32" s="34">
        <f t="shared" si="1"/>
        <v>4.619740886</v>
      </c>
      <c r="F32" s="34">
        <f t="shared" si="2"/>
        <v>-0.7397408865</v>
      </c>
      <c r="G32" s="34">
        <f t="shared" si="3"/>
        <v>-0.4665270574</v>
      </c>
      <c r="H32" s="34">
        <f t="shared" si="4"/>
        <v>0.4665270574</v>
      </c>
      <c r="I32" s="34">
        <f t="shared" si="5"/>
        <v>0.5472165792</v>
      </c>
      <c r="O32" s="60"/>
    </row>
    <row r="33">
      <c r="A33" s="31">
        <v>3.82</v>
      </c>
      <c r="B33" s="32">
        <v>1.577253658</v>
      </c>
      <c r="C33" s="46">
        <v>0.018921713</v>
      </c>
      <c r="D33" s="61">
        <v>1.558331945</v>
      </c>
      <c r="E33" s="34">
        <f t="shared" si="1"/>
        <v>3.686777948</v>
      </c>
      <c r="F33" s="34">
        <f t="shared" si="2"/>
        <v>0.1332220525</v>
      </c>
      <c r="G33" s="34">
        <f t="shared" si="3"/>
        <v>0.08446457029</v>
      </c>
      <c r="H33" s="34">
        <f t="shared" si="4"/>
        <v>0.08446457029</v>
      </c>
      <c r="I33" s="34">
        <f t="shared" si="5"/>
        <v>0.01774811526</v>
      </c>
      <c r="O33" s="60"/>
    </row>
    <row r="34">
      <c r="A34" s="31">
        <v>3.72</v>
      </c>
      <c r="B34" s="32">
        <v>1.563092213</v>
      </c>
      <c r="C34" s="46">
        <v>-0.002826892</v>
      </c>
      <c r="D34" s="61">
        <v>1.565919105</v>
      </c>
      <c r="E34" s="34">
        <f t="shared" si="1"/>
        <v>3.739822148</v>
      </c>
      <c r="F34" s="34">
        <f t="shared" si="2"/>
        <v>-0.0198221481</v>
      </c>
      <c r="G34" s="34">
        <f t="shared" si="3"/>
        <v>-0.01268136834</v>
      </c>
      <c r="H34" s="34">
        <f t="shared" si="4"/>
        <v>0.01268136834</v>
      </c>
      <c r="I34" s="34">
        <f t="shared" si="5"/>
        <v>0.0003929175554</v>
      </c>
      <c r="O34" s="60"/>
    </row>
    <row r="35">
      <c r="A35" s="31">
        <v>3.58</v>
      </c>
      <c r="B35" s="32">
        <v>1.542837652</v>
      </c>
      <c r="C35" s="46">
        <v>0.010289339</v>
      </c>
      <c r="D35" s="61">
        <v>1.532548313</v>
      </c>
      <c r="E35" s="34">
        <f t="shared" si="1"/>
        <v>3.510231887</v>
      </c>
      <c r="F35" s="34">
        <f t="shared" si="2"/>
        <v>0.06976811348</v>
      </c>
      <c r="G35" s="34">
        <f t="shared" si="3"/>
        <v>0.04522064482</v>
      </c>
      <c r="H35" s="34">
        <f t="shared" si="4"/>
        <v>0.04522064482</v>
      </c>
      <c r="I35" s="34">
        <f t="shared" si="5"/>
        <v>0.004867589658</v>
      </c>
      <c r="O35" s="60"/>
    </row>
    <row r="36">
      <c r="A36" s="31">
        <v>3.3</v>
      </c>
      <c r="B36" s="32">
        <v>1.500702961</v>
      </c>
      <c r="C36" s="46">
        <v>-0.026649052</v>
      </c>
      <c r="D36" s="61">
        <v>1.527352013</v>
      </c>
      <c r="E36" s="34">
        <f t="shared" si="1"/>
        <v>3.475341412</v>
      </c>
      <c r="F36" s="34">
        <f t="shared" si="2"/>
        <v>-0.1753414117</v>
      </c>
      <c r="G36" s="34">
        <f t="shared" si="3"/>
        <v>-0.1168395187</v>
      </c>
      <c r="H36" s="34">
        <f t="shared" si="4"/>
        <v>0.1168395187</v>
      </c>
      <c r="I36" s="34">
        <f t="shared" si="5"/>
        <v>0.03074461066</v>
      </c>
      <c r="O36" s="60"/>
    </row>
    <row r="37">
      <c r="A37" s="31">
        <v>3.61</v>
      </c>
      <c r="B37" s="32">
        <v>1.547221347</v>
      </c>
      <c r="C37" s="46">
        <v>0.076432245</v>
      </c>
      <c r="D37" s="61">
        <v>1.470789102</v>
      </c>
      <c r="E37" s="34">
        <f t="shared" si="1"/>
        <v>3.110250035</v>
      </c>
      <c r="F37" s="34">
        <f t="shared" si="2"/>
        <v>0.4997499648</v>
      </c>
      <c r="G37" s="34">
        <f t="shared" si="3"/>
        <v>0.3229983646</v>
      </c>
      <c r="H37" s="34">
        <f t="shared" si="4"/>
        <v>0.3229983646</v>
      </c>
      <c r="I37" s="34">
        <f t="shared" si="5"/>
        <v>0.2497500273</v>
      </c>
      <c r="O37" s="60"/>
    </row>
    <row r="38">
      <c r="A38" s="31">
        <v>3.25</v>
      </c>
      <c r="B38" s="32">
        <v>1.492933086</v>
      </c>
      <c r="C38" s="46">
        <v>-0.066859754</v>
      </c>
      <c r="D38" s="61">
        <v>1.559792839</v>
      </c>
      <c r="E38" s="34">
        <f t="shared" si="1"/>
        <v>3.696952654</v>
      </c>
      <c r="F38" s="34">
        <f t="shared" si="2"/>
        <v>-0.4469526542</v>
      </c>
      <c r="G38" s="34">
        <f t="shared" si="3"/>
        <v>-0.2993788927</v>
      </c>
      <c r="H38" s="34">
        <f t="shared" si="4"/>
        <v>0.2993788927</v>
      </c>
      <c r="I38" s="34">
        <f t="shared" si="5"/>
        <v>0.1997666751</v>
      </c>
      <c r="O38" s="60"/>
    </row>
    <row r="39">
      <c r="A39" s="31">
        <v>3.18</v>
      </c>
      <c r="B39" s="32">
        <v>1.481921575</v>
      </c>
      <c r="C39" s="46">
        <v>0.025997288</v>
      </c>
      <c r="D39" s="61">
        <v>1.455924286</v>
      </c>
      <c r="E39" s="34">
        <f t="shared" si="1"/>
        <v>3.01870012</v>
      </c>
      <c r="F39" s="34">
        <f t="shared" si="2"/>
        <v>0.1612998801</v>
      </c>
      <c r="G39" s="34">
        <f t="shared" si="3"/>
        <v>0.1088450852</v>
      </c>
      <c r="H39" s="34">
        <f t="shared" si="4"/>
        <v>0.1088450852</v>
      </c>
      <c r="I39" s="34">
        <f t="shared" si="5"/>
        <v>0.02601765132</v>
      </c>
      <c r="O39" s="60"/>
    </row>
    <row r="40">
      <c r="A40" s="31">
        <v>3.4</v>
      </c>
      <c r="B40" s="32">
        <v>1.516012673</v>
      </c>
      <c r="C40" s="46">
        <v>0.031542489</v>
      </c>
      <c r="D40" s="61">
        <v>1.484470184</v>
      </c>
      <c r="E40" s="34">
        <f t="shared" si="1"/>
        <v>3.196112056</v>
      </c>
      <c r="F40" s="34">
        <f t="shared" si="2"/>
        <v>0.2038879439</v>
      </c>
      <c r="G40" s="34">
        <f t="shared" si="3"/>
        <v>0.1344896039</v>
      </c>
      <c r="H40" s="34">
        <f t="shared" si="4"/>
        <v>0.1344896039</v>
      </c>
      <c r="I40" s="34">
        <f t="shared" si="5"/>
        <v>0.04157029366</v>
      </c>
      <c r="O40" s="60"/>
    </row>
    <row r="41">
      <c r="A41" s="31">
        <v>3.41</v>
      </c>
      <c r="B41" s="32">
        <v>1.517527217</v>
      </c>
      <c r="C41" s="46">
        <v>0.002884328</v>
      </c>
      <c r="D41" s="61">
        <v>1.514642889</v>
      </c>
      <c r="E41" s="34">
        <f t="shared" si="1"/>
        <v>3.390972482</v>
      </c>
      <c r="F41" s="34">
        <f t="shared" si="2"/>
        <v>0.0190275181</v>
      </c>
      <c r="G41" s="34">
        <f t="shared" si="3"/>
        <v>0.01253850204</v>
      </c>
      <c r="H41" s="34">
        <f t="shared" si="4"/>
        <v>0.01253850204</v>
      </c>
      <c r="I41" s="34">
        <f t="shared" si="5"/>
        <v>0.000362046445</v>
      </c>
      <c r="O41" s="60"/>
    </row>
    <row r="42">
      <c r="A42" s="31">
        <v>3.23</v>
      </c>
      <c r="B42" s="32">
        <v>1.489803045</v>
      </c>
      <c r="C42" s="46">
        <v>-0.029321822</v>
      </c>
      <c r="D42" s="61">
        <v>1.519124867</v>
      </c>
      <c r="E42" s="34">
        <f t="shared" si="1"/>
        <v>3.420569742</v>
      </c>
      <c r="F42" s="34">
        <f t="shared" si="2"/>
        <v>-0.1905697419</v>
      </c>
      <c r="G42" s="34">
        <f t="shared" si="3"/>
        <v>-0.1279160642</v>
      </c>
      <c r="H42" s="34">
        <f t="shared" si="4"/>
        <v>0.1279160642</v>
      </c>
      <c r="I42" s="34">
        <f t="shared" si="5"/>
        <v>0.03631682654</v>
      </c>
      <c r="O42" s="60"/>
    </row>
    <row r="43">
      <c r="A43" s="31">
        <v>3.12</v>
      </c>
      <c r="B43" s="32">
        <v>1.47235509</v>
      </c>
      <c r="C43" s="46">
        <v>-0.01422371</v>
      </c>
      <c r="D43" s="61">
        <v>1.4865788</v>
      </c>
      <c r="E43" s="34">
        <f t="shared" si="1"/>
        <v>3.209483174</v>
      </c>
      <c r="F43" s="34">
        <f t="shared" si="2"/>
        <v>-0.08948317355</v>
      </c>
      <c r="G43" s="34">
        <f t="shared" si="3"/>
        <v>-0.06077553856</v>
      </c>
      <c r="H43" s="34">
        <f t="shared" si="4"/>
        <v>0.06077553856</v>
      </c>
      <c r="I43" s="34">
        <f t="shared" si="5"/>
        <v>0.008007238348</v>
      </c>
      <c r="O43" s="60"/>
    </row>
    <row r="44">
      <c r="A44" s="31">
        <v>3.18</v>
      </c>
      <c r="B44" s="32">
        <v>1.481921575</v>
      </c>
      <c r="C44" s="46">
        <v>0.022021991</v>
      </c>
      <c r="D44" s="61">
        <v>1.459899583</v>
      </c>
      <c r="E44" s="34">
        <f t="shared" si="1"/>
        <v>3.043006609</v>
      </c>
      <c r="F44" s="34">
        <f t="shared" si="2"/>
        <v>0.1369933906</v>
      </c>
      <c r="G44" s="34">
        <f t="shared" si="3"/>
        <v>0.09244307724</v>
      </c>
      <c r="H44" s="34">
        <f t="shared" si="4"/>
        <v>0.09244307724</v>
      </c>
      <c r="I44" s="34">
        <f t="shared" si="5"/>
        <v>0.01876718908</v>
      </c>
      <c r="O44" s="60"/>
    </row>
    <row r="45">
      <c r="A45" s="31">
        <v>3.2</v>
      </c>
      <c r="B45" s="32">
        <v>1.485083909</v>
      </c>
      <c r="C45" s="46">
        <v>0.009604887</v>
      </c>
      <c r="D45" s="61">
        <v>1.475479022</v>
      </c>
      <c r="E45" s="34">
        <f t="shared" si="1"/>
        <v>3.139510067</v>
      </c>
      <c r="F45" s="34">
        <f t="shared" si="2"/>
        <v>0.06048993316</v>
      </c>
      <c r="G45" s="34">
        <f t="shared" si="3"/>
        <v>0.04073166021</v>
      </c>
      <c r="H45" s="34">
        <f t="shared" si="4"/>
        <v>0.04073166021</v>
      </c>
      <c r="I45" s="34">
        <f t="shared" si="5"/>
        <v>0.003659032014</v>
      </c>
      <c r="O45" s="60"/>
    </row>
    <row r="46">
      <c r="A46" s="31">
        <v>2.88</v>
      </c>
      <c r="B46" s="32">
        <v>1.432825974</v>
      </c>
      <c r="C46" s="46">
        <v>-0.049369273</v>
      </c>
      <c r="D46" s="61">
        <v>1.482195248</v>
      </c>
      <c r="E46" s="34">
        <f t="shared" si="1"/>
        <v>3.181727561</v>
      </c>
      <c r="F46" s="34">
        <f t="shared" si="2"/>
        <v>-0.3017275605</v>
      </c>
      <c r="G46" s="34">
        <f t="shared" si="3"/>
        <v>-0.2105821405</v>
      </c>
      <c r="H46" s="34">
        <f t="shared" si="4"/>
        <v>0.2105821405</v>
      </c>
      <c r="I46" s="34">
        <f t="shared" si="5"/>
        <v>0.09103952078</v>
      </c>
      <c r="O46" s="60"/>
    </row>
    <row r="47">
      <c r="A47" s="31">
        <v>3.16</v>
      </c>
      <c r="B47" s="32">
        <v>1.478746086</v>
      </c>
      <c r="C47" s="46">
        <v>0.070242548</v>
      </c>
      <c r="D47" s="61">
        <v>1.408503537</v>
      </c>
      <c r="E47" s="34">
        <f t="shared" si="1"/>
        <v>2.738566924</v>
      </c>
      <c r="F47" s="34">
        <f t="shared" si="2"/>
        <v>0.4214330756</v>
      </c>
      <c r="G47" s="34">
        <f t="shared" si="3"/>
        <v>0.2849935358</v>
      </c>
      <c r="H47" s="34">
        <f t="shared" si="4"/>
        <v>0.2849935358</v>
      </c>
      <c r="I47" s="34">
        <f t="shared" si="5"/>
        <v>0.1776058372</v>
      </c>
      <c r="O47" s="60"/>
    </row>
    <row r="48">
      <c r="A48" s="31">
        <v>3.23</v>
      </c>
      <c r="B48" s="32">
        <v>1.489803045</v>
      </c>
      <c r="C48" s="46">
        <v>-0.007696452</v>
      </c>
      <c r="D48" s="61">
        <v>1.497499497</v>
      </c>
      <c r="E48" s="34">
        <f t="shared" si="1"/>
        <v>3.279324308</v>
      </c>
      <c r="F48" s="34">
        <f t="shared" si="2"/>
        <v>-0.0493243076</v>
      </c>
      <c r="G48" s="34">
        <f t="shared" si="3"/>
        <v>-0.03310793851</v>
      </c>
      <c r="H48" s="34">
        <f t="shared" si="4"/>
        <v>0.03310793851</v>
      </c>
      <c r="I48" s="34">
        <f t="shared" si="5"/>
        <v>0.002432887321</v>
      </c>
      <c r="O48" s="60"/>
    </row>
    <row r="49">
      <c r="A49" s="31">
        <v>3.13</v>
      </c>
      <c r="B49" s="32">
        <v>1.473957885</v>
      </c>
      <c r="C49" s="46">
        <v>-0.010304851</v>
      </c>
      <c r="D49" s="61">
        <v>1.484262736</v>
      </c>
      <c r="E49" s="34">
        <f t="shared" si="1"/>
        <v>3.194798581</v>
      </c>
      <c r="F49" s="34">
        <f t="shared" si="2"/>
        <v>-0.06479858072</v>
      </c>
      <c r="G49" s="34">
        <f t="shared" si="3"/>
        <v>-0.04396230135</v>
      </c>
      <c r="H49" s="34">
        <f t="shared" si="4"/>
        <v>0.04396230135</v>
      </c>
      <c r="I49" s="34">
        <f t="shared" si="5"/>
        <v>0.004198856063</v>
      </c>
      <c r="O49" s="60"/>
    </row>
    <row r="50">
      <c r="A50" s="31">
        <v>2.82</v>
      </c>
      <c r="B50" s="32">
        <v>1.422606199</v>
      </c>
      <c r="C50" s="46">
        <v>-0.059683399</v>
      </c>
      <c r="D50" s="61">
        <v>1.482289598</v>
      </c>
      <c r="E50" s="34">
        <f t="shared" si="1"/>
        <v>3.182323288</v>
      </c>
      <c r="F50" s="34">
        <f t="shared" si="2"/>
        <v>-0.3623232877</v>
      </c>
      <c r="G50" s="34">
        <f t="shared" si="3"/>
        <v>-0.2546897996</v>
      </c>
      <c r="H50" s="34">
        <f t="shared" si="4"/>
        <v>0.2546897996</v>
      </c>
      <c r="I50" s="34">
        <f t="shared" si="5"/>
        <v>0.1312781648</v>
      </c>
      <c r="O50" s="60"/>
    </row>
    <row r="51">
      <c r="A51" s="31">
        <v>2.57</v>
      </c>
      <c r="B51" s="32">
        <v>1.37840634</v>
      </c>
      <c r="C51" s="46">
        <v>-0.018368219</v>
      </c>
      <c r="D51" s="61">
        <v>1.396774558</v>
      </c>
      <c r="E51" s="34">
        <f t="shared" si="1"/>
        <v>2.672034772</v>
      </c>
      <c r="F51" s="34">
        <f t="shared" si="2"/>
        <v>-0.1020347717</v>
      </c>
      <c r="G51" s="34">
        <f t="shared" si="3"/>
        <v>-0.07402372491</v>
      </c>
      <c r="H51" s="34">
        <f t="shared" si="4"/>
        <v>0.07402372491</v>
      </c>
      <c r="I51" s="34">
        <f t="shared" si="5"/>
        <v>0.01041109464</v>
      </c>
      <c r="O51" s="60"/>
    </row>
    <row r="52">
      <c r="A52" s="31">
        <v>2.48</v>
      </c>
      <c r="B52" s="32">
        <v>1.361800758</v>
      </c>
      <c r="C52" s="46">
        <v>0.019052127</v>
      </c>
      <c r="D52" s="61">
        <v>1.342748631</v>
      </c>
      <c r="E52" s="34">
        <f t="shared" si="1"/>
        <v>2.379332045</v>
      </c>
      <c r="F52" s="34">
        <f t="shared" si="2"/>
        <v>0.1006679552</v>
      </c>
      <c r="G52" s="34">
        <f t="shared" si="3"/>
        <v>0.07392267523</v>
      </c>
      <c r="H52" s="34">
        <f t="shared" si="4"/>
        <v>0.07392267523</v>
      </c>
      <c r="I52" s="34">
        <f t="shared" si="5"/>
        <v>0.0101340372</v>
      </c>
      <c r="O52" s="60"/>
    </row>
    <row r="53">
      <c r="A53" s="31">
        <v>2.83</v>
      </c>
      <c r="B53" s="32">
        <v>1.424319395</v>
      </c>
      <c r="C53" s="46">
        <v>0.094358559</v>
      </c>
      <c r="D53" s="61">
        <v>1.329960836</v>
      </c>
      <c r="E53" s="34">
        <f t="shared" si="1"/>
        <v>2.31329979</v>
      </c>
      <c r="F53" s="34">
        <f t="shared" si="2"/>
        <v>0.5167002098</v>
      </c>
      <c r="G53" s="34">
        <f t="shared" si="3"/>
        <v>0.3627699037</v>
      </c>
      <c r="H53" s="34">
        <f t="shared" si="4"/>
        <v>0.3627699037</v>
      </c>
      <c r="I53" s="34">
        <f t="shared" si="5"/>
        <v>0.2669791068</v>
      </c>
      <c r="O53" s="60"/>
    </row>
    <row r="54">
      <c r="A54" s="31">
        <v>3.32</v>
      </c>
      <c r="B54" s="32">
        <v>1.503789155</v>
      </c>
      <c r="C54" s="46">
        <v>0.063003679</v>
      </c>
      <c r="D54" s="61">
        <v>1.440785476</v>
      </c>
      <c r="E54" s="34">
        <f t="shared" si="1"/>
        <v>2.927309174</v>
      </c>
      <c r="F54" s="34">
        <f t="shared" si="2"/>
        <v>0.3926908262</v>
      </c>
      <c r="G54" s="34">
        <f t="shared" si="3"/>
        <v>0.2611342321</v>
      </c>
      <c r="H54" s="34">
        <f t="shared" si="4"/>
        <v>0.2611342321</v>
      </c>
      <c r="I54" s="34">
        <f t="shared" si="5"/>
        <v>0.154206085</v>
      </c>
      <c r="N54" s="62" t="s">
        <v>59</v>
      </c>
      <c r="O54" s="62">
        <v>-0.465</v>
      </c>
    </row>
    <row r="55">
      <c r="A55" s="31">
        <v>3.28</v>
      </c>
      <c r="B55" s="32">
        <v>1.497604398</v>
      </c>
      <c r="C55" s="46">
        <v>-0.051311426</v>
      </c>
      <c r="D55" s="61">
        <v>1.548915824</v>
      </c>
      <c r="E55" s="34">
        <f t="shared" si="1"/>
        <v>3.621640541</v>
      </c>
      <c r="F55" s="34">
        <f t="shared" si="2"/>
        <v>-0.3416405406</v>
      </c>
      <c r="G55" s="34">
        <f t="shared" si="3"/>
        <v>-0.228124691</v>
      </c>
      <c r="H55" s="34">
        <f t="shared" si="4"/>
        <v>0.228124691</v>
      </c>
      <c r="I55" s="34">
        <f t="shared" si="5"/>
        <v>0.116718259</v>
      </c>
      <c r="N55" s="62" t="s">
        <v>60</v>
      </c>
      <c r="O55" s="62">
        <v>-0.334</v>
      </c>
    </row>
    <row r="56">
      <c r="A56" s="31">
        <v>3.32</v>
      </c>
      <c r="B56" s="32">
        <v>1.503789155</v>
      </c>
      <c r="C56" s="46">
        <v>-0.021829659</v>
      </c>
      <c r="D56" s="61">
        <v>1.525618814</v>
      </c>
      <c r="E56" s="34">
        <f t="shared" si="1"/>
        <v>3.463754988</v>
      </c>
      <c r="F56" s="34">
        <f t="shared" si="2"/>
        <v>-0.1437549876</v>
      </c>
      <c r="G56" s="34">
        <f t="shared" si="3"/>
        <v>-0.0955951751</v>
      </c>
      <c r="H56" s="34">
        <f t="shared" si="4"/>
        <v>0.0955951751</v>
      </c>
      <c r="I56" s="34">
        <f t="shared" si="5"/>
        <v>0.02066549646</v>
      </c>
    </row>
    <row r="57">
      <c r="A57" s="31">
        <v>3.49</v>
      </c>
      <c r="B57" s="32">
        <v>1.529539317</v>
      </c>
      <c r="C57" s="31">
        <v>-0.003314166</v>
      </c>
      <c r="D57" s="61">
        <v>1.532853483</v>
      </c>
      <c r="E57" s="34">
        <f t="shared" si="1"/>
        <v>3.512288101</v>
      </c>
      <c r="F57" s="34">
        <f t="shared" si="2"/>
        <v>-0.02228810135</v>
      </c>
      <c r="G57" s="34">
        <f t="shared" si="3"/>
        <v>-0.01457177406</v>
      </c>
      <c r="H57" s="34">
        <f t="shared" si="4"/>
        <v>0.01457177406</v>
      </c>
      <c r="I57" s="34">
        <f t="shared" si="5"/>
        <v>0.0004967594618</v>
      </c>
    </row>
    <row r="58">
      <c r="A58" s="31">
        <v>3.39</v>
      </c>
      <c r="B58" s="32">
        <v>1.514495187</v>
      </c>
      <c r="C58" s="31">
        <v>-0.027552432</v>
      </c>
      <c r="D58" s="61">
        <v>1.542047618</v>
      </c>
      <c r="E58" s="34">
        <f t="shared" si="1"/>
        <v>3.574610929</v>
      </c>
      <c r="F58" s="34">
        <f t="shared" si="2"/>
        <v>-0.1846109292</v>
      </c>
      <c r="G58" s="34">
        <f t="shared" si="3"/>
        <v>-0.1218960158</v>
      </c>
      <c r="H58" s="34">
        <f t="shared" si="4"/>
        <v>0.1218960158</v>
      </c>
      <c r="I58" s="34">
        <f t="shared" si="5"/>
        <v>0.03408119518</v>
      </c>
    </row>
    <row r="59">
      <c r="A59" s="31">
        <v>3.13</v>
      </c>
      <c r="B59" s="32">
        <v>1.473957885</v>
      </c>
      <c r="C59" s="31">
        <v>-0.037938897</v>
      </c>
      <c r="D59" s="61">
        <v>1.511896782</v>
      </c>
      <c r="E59" s="34">
        <f t="shared" si="1"/>
        <v>3.37292203</v>
      </c>
      <c r="F59" s="34">
        <f t="shared" si="2"/>
        <v>-0.2429220299</v>
      </c>
      <c r="G59" s="34">
        <f t="shared" si="3"/>
        <v>-0.1648093425</v>
      </c>
      <c r="H59" s="34">
        <f t="shared" si="4"/>
        <v>0.1648093425</v>
      </c>
      <c r="I59" s="34">
        <f t="shared" si="5"/>
        <v>0.05901111262</v>
      </c>
    </row>
    <row r="60">
      <c r="A60" s="31">
        <v>3.0</v>
      </c>
      <c r="B60" s="32">
        <v>1.452851502</v>
      </c>
      <c r="C60" s="31">
        <v>-0.006073134</v>
      </c>
      <c r="D60" s="61">
        <v>1.458924636</v>
      </c>
      <c r="E60" s="34">
        <f t="shared" si="1"/>
        <v>3.0370335</v>
      </c>
      <c r="F60" s="34">
        <f t="shared" si="2"/>
        <v>-0.03703349996</v>
      </c>
      <c r="G60" s="34">
        <f t="shared" si="3"/>
        <v>-0.02549021694</v>
      </c>
      <c r="H60" s="34">
        <f t="shared" si="4"/>
        <v>0.02549021694</v>
      </c>
      <c r="I60" s="34">
        <f t="shared" si="5"/>
        <v>0.00137148012</v>
      </c>
    </row>
    <row r="61">
      <c r="A61" s="31">
        <v>2.72</v>
      </c>
      <c r="B61" s="32">
        <v>1.405249461</v>
      </c>
      <c r="C61" s="31">
        <v>-0.025974966</v>
      </c>
      <c r="D61" s="61">
        <v>1.431224427</v>
      </c>
      <c r="E61" s="34">
        <f t="shared" si="1"/>
        <v>2.870542232</v>
      </c>
      <c r="F61" s="34">
        <f t="shared" si="2"/>
        <v>-0.1505422317</v>
      </c>
      <c r="G61" s="34">
        <f t="shared" si="3"/>
        <v>-0.107128475</v>
      </c>
      <c r="H61" s="34">
        <f t="shared" si="4"/>
        <v>0.107128475</v>
      </c>
      <c r="I61" s="34">
        <f t="shared" si="5"/>
        <v>0.02266296352</v>
      </c>
    </row>
    <row r="62">
      <c r="A62" s="31">
        <v>2.68</v>
      </c>
      <c r="B62" s="32">
        <v>1.398188835</v>
      </c>
      <c r="C62" s="31">
        <v>0.034705779</v>
      </c>
      <c r="D62" s="61">
        <v>1.363483057</v>
      </c>
      <c r="E62" s="34">
        <f t="shared" si="1"/>
        <v>2.48902159</v>
      </c>
      <c r="F62" s="34">
        <f t="shared" si="2"/>
        <v>0.1909784103</v>
      </c>
      <c r="G62" s="34">
        <f t="shared" si="3"/>
        <v>0.136589855</v>
      </c>
      <c r="H62" s="34">
        <f t="shared" si="4"/>
        <v>0.136589855</v>
      </c>
      <c r="I62" s="34">
        <f t="shared" si="5"/>
        <v>0.03647275319</v>
      </c>
    </row>
    <row r="63">
      <c r="A63" s="31">
        <v>2.98</v>
      </c>
      <c r="B63" s="32">
        <v>1.4495511</v>
      </c>
      <c r="C63" s="31">
        <v>0.068433938</v>
      </c>
      <c r="D63" s="61">
        <v>1.381117162</v>
      </c>
      <c r="E63" s="34">
        <f t="shared" si="1"/>
        <v>2.58489384</v>
      </c>
      <c r="F63" s="34">
        <f t="shared" si="2"/>
        <v>0.3951061604</v>
      </c>
      <c r="G63" s="34">
        <f t="shared" si="3"/>
        <v>0.2725713915</v>
      </c>
      <c r="H63" s="34">
        <f t="shared" si="4"/>
        <v>0.2725713915</v>
      </c>
      <c r="I63" s="34">
        <f t="shared" si="5"/>
        <v>0.156108878</v>
      </c>
    </row>
    <row r="64">
      <c r="A64" s="31">
        <v>2.96</v>
      </c>
      <c r="B64" s="32">
        <v>1.446236046</v>
      </c>
      <c r="C64" s="31">
        <v>-0.013931241</v>
      </c>
      <c r="D64" s="61">
        <v>1.460167287</v>
      </c>
      <c r="E64" s="34">
        <f t="shared" si="1"/>
        <v>3.04464808</v>
      </c>
      <c r="F64" s="34">
        <f t="shared" si="2"/>
        <v>-0.08464808012</v>
      </c>
      <c r="G64" s="34">
        <f t="shared" si="3"/>
        <v>-0.05852992003</v>
      </c>
      <c r="H64" s="34">
        <f t="shared" si="4"/>
        <v>0.05852992003</v>
      </c>
      <c r="I64" s="34">
        <f t="shared" si="5"/>
        <v>0.007165297468</v>
      </c>
    </row>
    <row r="65">
      <c r="A65" s="31">
        <v>2.67</v>
      </c>
      <c r="B65" s="32">
        <v>1.396412825</v>
      </c>
      <c r="C65" s="31">
        <v>-0.052424343</v>
      </c>
      <c r="D65" s="61">
        <v>1.448837168</v>
      </c>
      <c r="E65" s="34">
        <f t="shared" si="1"/>
        <v>2.975685277</v>
      </c>
      <c r="F65" s="34">
        <f t="shared" si="2"/>
        <v>-0.3056852768</v>
      </c>
      <c r="G65" s="34">
        <f t="shared" si="3"/>
        <v>-0.218907526</v>
      </c>
      <c r="H65" s="34">
        <f t="shared" si="4"/>
        <v>0.218907526</v>
      </c>
      <c r="I65" s="34">
        <f t="shared" si="5"/>
        <v>0.09344348847</v>
      </c>
    </row>
    <row r="66">
      <c r="A66" s="31">
        <v>2.19</v>
      </c>
      <c r="B66" s="32">
        <v>1.305422215</v>
      </c>
      <c r="C66" s="31">
        <v>-0.081093999</v>
      </c>
      <c r="D66" s="61">
        <v>1.386516215</v>
      </c>
      <c r="E66" s="34">
        <f t="shared" si="1"/>
        <v>2.614726883</v>
      </c>
      <c r="F66" s="34">
        <f t="shared" si="2"/>
        <v>-0.4247268834</v>
      </c>
      <c r="G66" s="34">
        <f t="shared" si="3"/>
        <v>-0.3253559488</v>
      </c>
      <c r="H66" s="34">
        <f t="shared" si="4"/>
        <v>0.3253559488</v>
      </c>
      <c r="I66" s="34">
        <f t="shared" si="5"/>
        <v>0.1803929255</v>
      </c>
    </row>
    <row r="67">
      <c r="A67" s="31">
        <v>1.96</v>
      </c>
      <c r="B67" s="32">
        <v>1.257092005</v>
      </c>
      <c r="C67" s="31">
        <v>0.007950742</v>
      </c>
      <c r="D67" s="61">
        <v>1.249141262</v>
      </c>
      <c r="E67" s="34">
        <f t="shared" si="1"/>
        <v>1.923763278</v>
      </c>
      <c r="F67" s="34">
        <f t="shared" si="2"/>
        <v>0.03623672195</v>
      </c>
      <c r="G67" s="34">
        <f t="shared" si="3"/>
        <v>0.02882583121</v>
      </c>
      <c r="H67" s="34">
        <f t="shared" si="4"/>
        <v>0.02882583121</v>
      </c>
      <c r="I67" s="34">
        <f t="shared" si="5"/>
        <v>0.001313100018</v>
      </c>
    </row>
    <row r="68">
      <c r="A68" s="31">
        <v>1.54</v>
      </c>
      <c r="B68" s="32">
        <v>1.158129289</v>
      </c>
      <c r="C68" s="31">
        <v>-0.044540391</v>
      </c>
      <c r="D68" s="61">
        <v>1.20266968</v>
      </c>
      <c r="E68" s="34">
        <f t="shared" si="1"/>
        <v>1.720777009</v>
      </c>
      <c r="F68" s="34">
        <f t="shared" si="2"/>
        <v>-0.1807770094</v>
      </c>
      <c r="G68" s="34">
        <f t="shared" si="3"/>
        <v>-0.1560939794</v>
      </c>
      <c r="H68" s="34">
        <f t="shared" si="4"/>
        <v>0.1560939794</v>
      </c>
      <c r="I68" s="34">
        <f t="shared" si="5"/>
        <v>0.03268032712</v>
      </c>
    </row>
    <row r="69">
      <c r="A69" s="31">
        <v>1.32</v>
      </c>
      <c r="B69" s="32">
        <v>1.098993532</v>
      </c>
      <c r="C69" s="31">
        <v>0.030523521</v>
      </c>
      <c r="D69" s="61">
        <v>1.068470011</v>
      </c>
      <c r="E69" s="34">
        <f t="shared" si="1"/>
        <v>1.215052685</v>
      </c>
      <c r="F69" s="34">
        <f t="shared" si="2"/>
        <v>0.1049473149</v>
      </c>
      <c r="G69" s="34">
        <f t="shared" si="3"/>
        <v>0.0954940242</v>
      </c>
      <c r="H69" s="34">
        <f t="shared" si="4"/>
        <v>0.0954940242</v>
      </c>
      <c r="I69" s="34">
        <f t="shared" si="5"/>
        <v>0.01101393891</v>
      </c>
    </row>
    <row r="70">
      <c r="A70" s="31">
        <v>1.42</v>
      </c>
      <c r="B70" s="32">
        <v>1.126621506</v>
      </c>
      <c r="C70" s="31">
        <v>0.08837261</v>
      </c>
      <c r="D70" s="61">
        <v>1.038248896</v>
      </c>
      <c r="E70" s="34">
        <f t="shared" si="1"/>
        <v>1.116723161</v>
      </c>
      <c r="F70" s="34">
        <f t="shared" si="2"/>
        <v>0.3032768392</v>
      </c>
      <c r="G70" s="34">
        <f t="shared" si="3"/>
        <v>0.2691914166</v>
      </c>
      <c r="H70" s="34">
        <f t="shared" si="4"/>
        <v>0.2691914166</v>
      </c>
      <c r="I70" s="34">
        <f t="shared" si="5"/>
        <v>0.0919768412</v>
      </c>
    </row>
    <row r="71">
      <c r="A71" s="31">
        <v>1.44</v>
      </c>
      <c r="B71" s="32">
        <v>1.131991712</v>
      </c>
      <c r="C71" s="31">
        <v>0.031440202</v>
      </c>
      <c r="D71" s="61">
        <v>1.10055151</v>
      </c>
      <c r="E71" s="34">
        <f t="shared" si="1"/>
        <v>1.325511356</v>
      </c>
      <c r="F71" s="34">
        <f t="shared" si="2"/>
        <v>0.1144886436</v>
      </c>
      <c r="G71" s="34">
        <f t="shared" si="3"/>
        <v>0.1011391182</v>
      </c>
      <c r="H71" s="34">
        <f t="shared" si="4"/>
        <v>0.1011391182</v>
      </c>
      <c r="I71" s="34">
        <f t="shared" si="5"/>
        <v>0.01310764951</v>
      </c>
    </row>
    <row r="72">
      <c r="A72" s="31">
        <v>1.59</v>
      </c>
      <c r="B72" s="32">
        <v>1.170779265</v>
      </c>
      <c r="C72" s="31">
        <v>0.052065442</v>
      </c>
      <c r="D72" s="61">
        <v>1.118713823</v>
      </c>
      <c r="E72" s="34">
        <f t="shared" si="1"/>
        <v>1.39088489</v>
      </c>
      <c r="F72" s="34">
        <f t="shared" si="2"/>
        <v>0.1991151099</v>
      </c>
      <c r="G72" s="34">
        <f t="shared" si="3"/>
        <v>0.1700705811</v>
      </c>
      <c r="H72" s="34">
        <f t="shared" si="4"/>
        <v>0.1700705811</v>
      </c>
      <c r="I72" s="34">
        <f t="shared" si="5"/>
        <v>0.03964682699</v>
      </c>
    </row>
    <row r="73">
      <c r="A73" s="31">
        <v>1.68</v>
      </c>
      <c r="B73" s="32">
        <v>1.192903069</v>
      </c>
      <c r="C73" s="31">
        <v>-0.008551628</v>
      </c>
      <c r="D73" s="61">
        <v>1.201454697</v>
      </c>
      <c r="E73" s="34">
        <f t="shared" si="1"/>
        <v>1.715669095</v>
      </c>
      <c r="F73" s="34">
        <f t="shared" si="2"/>
        <v>-0.03566909501</v>
      </c>
      <c r="G73" s="34">
        <f t="shared" si="3"/>
        <v>-0.02990108412</v>
      </c>
      <c r="H73" s="34">
        <f t="shared" si="4"/>
        <v>0.02990108412</v>
      </c>
      <c r="I73" s="34">
        <f t="shared" si="5"/>
        <v>0.001272284339</v>
      </c>
    </row>
    <row r="74">
      <c r="A74" s="31">
        <v>1.55</v>
      </c>
      <c r="B74" s="32">
        <v>1.160680738</v>
      </c>
      <c r="C74" s="31">
        <v>-0.050929616</v>
      </c>
      <c r="D74" s="61">
        <v>1.211610355</v>
      </c>
      <c r="E74" s="34">
        <f t="shared" si="1"/>
        <v>1.75867352</v>
      </c>
      <c r="F74" s="34">
        <f t="shared" si="2"/>
        <v>-0.2086735202</v>
      </c>
      <c r="G74" s="34">
        <f t="shared" si="3"/>
        <v>-0.1797854598</v>
      </c>
      <c r="H74" s="34">
        <f t="shared" si="4"/>
        <v>0.1797854598</v>
      </c>
      <c r="I74" s="34">
        <f t="shared" si="5"/>
        <v>0.04354463804</v>
      </c>
    </row>
    <row r="75">
      <c r="A75" s="31">
        <v>1.38</v>
      </c>
      <c r="B75" s="32">
        <v>1.115729432</v>
      </c>
      <c r="C75" s="31">
        <v>-0.043594613</v>
      </c>
      <c r="D75" s="61">
        <v>1.159324045</v>
      </c>
      <c r="E75" s="34">
        <f t="shared" si="1"/>
        <v>1.544677337</v>
      </c>
      <c r="F75" s="34">
        <f t="shared" si="2"/>
        <v>-0.1646773374</v>
      </c>
      <c r="G75" s="34">
        <f t="shared" si="3"/>
        <v>-0.147596122</v>
      </c>
      <c r="H75" s="34">
        <f t="shared" si="4"/>
        <v>0.147596122</v>
      </c>
      <c r="I75" s="34">
        <f t="shared" si="5"/>
        <v>0.02711862545</v>
      </c>
    </row>
    <row r="76">
      <c r="A76" s="31">
        <v>1.37</v>
      </c>
      <c r="B76" s="32">
        <v>1.112973933</v>
      </c>
      <c r="C76" s="31">
        <v>0.018101863</v>
      </c>
      <c r="D76" s="61">
        <v>1.09487207</v>
      </c>
      <c r="E76" s="34">
        <f t="shared" si="1"/>
        <v>1.305493274</v>
      </c>
      <c r="F76" s="34">
        <f t="shared" si="2"/>
        <v>0.06450672607</v>
      </c>
      <c r="G76" s="34">
        <f t="shared" si="3"/>
        <v>0.0579588831</v>
      </c>
      <c r="H76" s="34">
        <f t="shared" si="4"/>
        <v>0.0579588831</v>
      </c>
      <c r="I76" s="34">
        <f t="shared" si="5"/>
        <v>0.004161117709</v>
      </c>
    </row>
    <row r="77">
      <c r="A77" s="31">
        <v>1.42</v>
      </c>
      <c r="B77" s="32">
        <v>1.126621506</v>
      </c>
      <c r="C77" s="31">
        <v>0.031786722</v>
      </c>
      <c r="D77" s="61">
        <v>1.094834784</v>
      </c>
      <c r="E77" s="34">
        <f t="shared" si="1"/>
        <v>1.305362517</v>
      </c>
      <c r="F77" s="34">
        <f t="shared" si="2"/>
        <v>0.1146374827</v>
      </c>
      <c r="G77" s="34">
        <f t="shared" si="3"/>
        <v>0.1017533236</v>
      </c>
      <c r="H77" s="34">
        <f t="shared" si="4"/>
        <v>0.1017533236</v>
      </c>
      <c r="I77" s="34">
        <f t="shared" si="5"/>
        <v>0.01314175245</v>
      </c>
    </row>
    <row r="78">
      <c r="A78" s="31">
        <v>1.68</v>
      </c>
      <c r="B78" s="32">
        <v>1.192903069</v>
      </c>
      <c r="C78" s="31">
        <v>0.074375779</v>
      </c>
      <c r="D78" s="61">
        <v>1.11852729</v>
      </c>
      <c r="E78" s="34">
        <f t="shared" si="1"/>
        <v>1.390202899</v>
      </c>
      <c r="F78" s="34">
        <f t="shared" si="2"/>
        <v>0.2897971009</v>
      </c>
      <c r="G78" s="34">
        <f t="shared" si="3"/>
        <v>0.2429343242</v>
      </c>
      <c r="H78" s="34">
        <f t="shared" si="4"/>
        <v>0.2429343242</v>
      </c>
      <c r="I78" s="34">
        <f t="shared" si="5"/>
        <v>0.0839823597</v>
      </c>
    </row>
    <row r="79">
      <c r="A79" s="31">
        <v>1.33</v>
      </c>
      <c r="B79" s="32">
        <v>1.101817226</v>
      </c>
      <c r="C79" s="31">
        <v>-0.127385809</v>
      </c>
      <c r="D79" s="61">
        <v>1.229203035</v>
      </c>
      <c r="E79" s="34">
        <f t="shared" si="1"/>
        <v>1.834842934</v>
      </c>
      <c r="F79" s="34">
        <f t="shared" si="2"/>
        <v>-0.5048429342</v>
      </c>
      <c r="G79" s="34">
        <f t="shared" si="3"/>
        <v>-0.4581911793</v>
      </c>
      <c r="H79" s="34">
        <f t="shared" si="4"/>
        <v>0.4581911793</v>
      </c>
      <c r="I79" s="34">
        <f t="shared" si="5"/>
        <v>0.2548663882</v>
      </c>
    </row>
    <row r="80">
      <c r="A80" s="31">
        <v>1.52</v>
      </c>
      <c r="B80" s="32">
        <v>1.152993396</v>
      </c>
      <c r="C80" s="31">
        <v>0.086615114</v>
      </c>
      <c r="D80" s="61">
        <v>1.066378282</v>
      </c>
      <c r="E80" s="34">
        <f t="shared" si="1"/>
        <v>1.208069818</v>
      </c>
      <c r="F80" s="34">
        <f t="shared" si="2"/>
        <v>0.3119301822</v>
      </c>
      <c r="G80" s="34">
        <f t="shared" si="3"/>
        <v>0.2705394353</v>
      </c>
      <c r="H80" s="34">
        <f t="shared" si="4"/>
        <v>0.2705394353</v>
      </c>
      <c r="I80" s="34">
        <f t="shared" si="5"/>
        <v>0.0973004386</v>
      </c>
    </row>
    <row r="81">
      <c r="A81" s="31">
        <v>1.59</v>
      </c>
      <c r="B81" s="32">
        <v>1.170779265</v>
      </c>
      <c r="C81" s="31">
        <v>-0.019789315</v>
      </c>
      <c r="D81" s="61">
        <v>1.19056858</v>
      </c>
      <c r="E81" s="34">
        <f t="shared" si="1"/>
        <v>1.670348567</v>
      </c>
      <c r="F81" s="34">
        <f t="shared" si="2"/>
        <v>-0.08034856708</v>
      </c>
      <c r="G81" s="34">
        <f t="shared" si="3"/>
        <v>-0.06862827988</v>
      </c>
      <c r="H81" s="34">
        <f t="shared" si="4"/>
        <v>0.06862827988</v>
      </c>
      <c r="I81" s="34">
        <f t="shared" si="5"/>
        <v>0.006455892232</v>
      </c>
    </row>
    <row r="82">
      <c r="A82" s="29">
        <v>1.6</v>
      </c>
      <c r="B82" s="36">
        <v>1.17327764</v>
      </c>
      <c r="C82" s="37">
        <f t="shared" ref="C82:C93" si="6">B82-D82</f>
        <v>0.01670152838</v>
      </c>
      <c r="D82" s="38">
        <f t="shared" ref="D82:D93" si="7">($O$54+2)*B81-(1+2*$O$54-$O$55)*B80+($O$54-2*$O$55)*B79+($O$55*B78)</f>
        <v>1.156576112</v>
      </c>
      <c r="E82" s="38">
        <f t="shared" si="1"/>
        <v>1.533933469</v>
      </c>
      <c r="F82" s="34">
        <f t="shared" si="2"/>
        <v>0.06606653102</v>
      </c>
      <c r="G82" s="38">
        <f t="shared" si="3"/>
        <v>0.05630937535</v>
      </c>
      <c r="H82" s="38">
        <f t="shared" si="4"/>
        <v>0.05630937535</v>
      </c>
      <c r="I82" s="38">
        <f t="shared" si="5"/>
        <v>0.004364786521</v>
      </c>
    </row>
    <row r="83">
      <c r="A83" s="29">
        <v>1.66</v>
      </c>
      <c r="B83" s="36">
        <v>1.188055557</v>
      </c>
      <c r="C83" s="37">
        <f t="shared" si="6"/>
        <v>-0.005981503244</v>
      </c>
      <c r="D83" s="38">
        <f t="shared" si="7"/>
        <v>1.19403706</v>
      </c>
      <c r="E83" s="38">
        <f t="shared" si="1"/>
        <v>1.684701492</v>
      </c>
      <c r="F83" s="34">
        <f t="shared" si="2"/>
        <v>-0.02470149165</v>
      </c>
      <c r="G83" s="38">
        <f t="shared" si="3"/>
        <v>-0.02079152907</v>
      </c>
      <c r="H83" s="38">
        <f t="shared" si="4"/>
        <v>0.02079152907</v>
      </c>
      <c r="I83" s="38">
        <f t="shared" si="5"/>
        <v>0.0006101636898</v>
      </c>
    </row>
    <row r="84">
      <c r="A84" s="29">
        <v>1.75</v>
      </c>
      <c r="B84" s="36">
        <v>1.209575375</v>
      </c>
      <c r="C84" s="37">
        <f t="shared" si="6"/>
        <v>0.007345865034</v>
      </c>
      <c r="D84" s="38">
        <f t="shared" si="7"/>
        <v>1.20222951</v>
      </c>
      <c r="E84" s="38">
        <f t="shared" si="1"/>
        <v>1.718925331</v>
      </c>
      <c r="F84" s="34">
        <f t="shared" si="2"/>
        <v>0.0310746688</v>
      </c>
      <c r="G84" s="38">
        <f t="shared" si="3"/>
        <v>0.02569056004</v>
      </c>
      <c r="H84" s="38">
        <f t="shared" si="4"/>
        <v>0.02569056004</v>
      </c>
      <c r="I84" s="38">
        <f t="shared" si="5"/>
        <v>0.0009656350409</v>
      </c>
    </row>
    <row r="85">
      <c r="A85" s="29">
        <v>1.87</v>
      </c>
      <c r="B85" s="36">
        <v>1.237160787</v>
      </c>
      <c r="C85" s="37">
        <f t="shared" si="6"/>
        <v>0.01330194499</v>
      </c>
      <c r="D85" s="38">
        <f t="shared" si="7"/>
        <v>1.223858842</v>
      </c>
      <c r="E85" s="38">
        <f t="shared" si="1"/>
        <v>1.811479081</v>
      </c>
      <c r="F85" s="34">
        <f t="shared" si="2"/>
        <v>0.05852091939</v>
      </c>
      <c r="G85" s="38">
        <f t="shared" si="3"/>
        <v>0.04730259802</v>
      </c>
      <c r="H85" s="38">
        <f t="shared" si="4"/>
        <v>0.04730259802</v>
      </c>
      <c r="I85" s="38">
        <f t="shared" si="5"/>
        <v>0.003424698006</v>
      </c>
    </row>
    <row r="86">
      <c r="A86" s="29">
        <v>2.18</v>
      </c>
      <c r="B86" s="36">
        <v>1.303392471</v>
      </c>
      <c r="C86" s="37">
        <f t="shared" si="6"/>
        <v>0.04371856814</v>
      </c>
      <c r="D86" s="38">
        <f t="shared" si="7"/>
        <v>1.259673903</v>
      </c>
      <c r="E86" s="38">
        <f t="shared" si="1"/>
        <v>1.971863549</v>
      </c>
      <c r="F86" s="34">
        <f t="shared" si="2"/>
        <v>0.2081364512</v>
      </c>
      <c r="G86" s="38">
        <f t="shared" si="3"/>
        <v>0.1596882412</v>
      </c>
      <c r="H86" s="38">
        <f t="shared" si="4"/>
        <v>0.1596882412</v>
      </c>
      <c r="I86" s="38">
        <f t="shared" si="5"/>
        <v>0.04332078234</v>
      </c>
    </row>
    <row r="87">
      <c r="A87" s="29">
        <v>2.06</v>
      </c>
      <c r="B87" s="36">
        <v>1.278541575</v>
      </c>
      <c r="C87" s="37">
        <f t="shared" si="6"/>
        <v>-0.07108615512</v>
      </c>
      <c r="D87" s="38">
        <f t="shared" si="7"/>
        <v>1.34962773</v>
      </c>
      <c r="E87" s="38">
        <f t="shared" si="1"/>
        <v>2.415362571</v>
      </c>
      <c r="F87" s="34">
        <f t="shared" si="2"/>
        <v>-0.3553625709</v>
      </c>
      <c r="G87" s="38">
        <f t="shared" si="3"/>
        <v>-0.277943696</v>
      </c>
      <c r="H87" s="38">
        <f t="shared" si="4"/>
        <v>0.277943696</v>
      </c>
      <c r="I87" s="38">
        <f t="shared" si="5"/>
        <v>0.1262825568</v>
      </c>
    </row>
    <row r="88">
      <c r="A88" s="29">
        <v>2.64</v>
      </c>
      <c r="B88" s="36">
        <v>1.39105831</v>
      </c>
      <c r="C88" s="37">
        <f t="shared" si="6"/>
        <v>0.1079220861</v>
      </c>
      <c r="D88" s="38">
        <f t="shared" si="7"/>
        <v>1.283136224</v>
      </c>
      <c r="E88" s="38">
        <f t="shared" si="1"/>
        <v>2.081849404</v>
      </c>
      <c r="F88" s="34">
        <f t="shared" si="2"/>
        <v>0.5581505956</v>
      </c>
      <c r="G88" s="38">
        <f t="shared" si="3"/>
        <v>0.4012416961</v>
      </c>
      <c r="H88" s="38">
        <f t="shared" si="4"/>
        <v>0.4012416961</v>
      </c>
      <c r="I88" s="38">
        <f t="shared" si="5"/>
        <v>0.3115320874</v>
      </c>
    </row>
    <row r="89">
      <c r="A89" s="29">
        <v>3.47</v>
      </c>
      <c r="B89" s="36">
        <v>1.526553472</v>
      </c>
      <c r="C89" s="37">
        <f t="shared" si="6"/>
        <v>0.0564327937</v>
      </c>
      <c r="D89" s="38">
        <f t="shared" si="7"/>
        <v>1.470120678</v>
      </c>
      <c r="E89" s="38">
        <f t="shared" si="1"/>
        <v>3.106094507</v>
      </c>
      <c r="F89" s="34">
        <f t="shared" si="2"/>
        <v>0.363905493</v>
      </c>
      <c r="G89" s="38">
        <f t="shared" si="3"/>
        <v>0.2383837184</v>
      </c>
      <c r="H89" s="38">
        <f t="shared" si="4"/>
        <v>0.2383837184</v>
      </c>
      <c r="I89" s="38">
        <f t="shared" si="5"/>
        <v>0.1324272079</v>
      </c>
    </row>
    <row r="90">
      <c r="A90" s="29">
        <v>3.55</v>
      </c>
      <c r="B90" s="36">
        <v>1.538429645</v>
      </c>
      <c r="C90" s="37">
        <f t="shared" si="6"/>
        <v>-0.06705323169</v>
      </c>
      <c r="D90" s="38">
        <f t="shared" si="7"/>
        <v>1.605482877</v>
      </c>
      <c r="E90" s="38">
        <f t="shared" si="1"/>
        <v>4.024598697</v>
      </c>
      <c r="F90" s="34">
        <f t="shared" si="2"/>
        <v>-0.4745986966</v>
      </c>
      <c r="G90" s="38">
        <f t="shared" si="3"/>
        <v>-0.3084955481</v>
      </c>
      <c r="H90" s="38">
        <f t="shared" si="4"/>
        <v>0.3084955481</v>
      </c>
      <c r="I90" s="38">
        <f t="shared" si="5"/>
        <v>0.2252439228</v>
      </c>
    </row>
    <row r="91">
      <c r="A91" s="29">
        <v>4.35</v>
      </c>
      <c r="B91" s="36">
        <v>1.648490115</v>
      </c>
      <c r="C91" s="37">
        <f t="shared" si="6"/>
        <v>0.04837626173</v>
      </c>
      <c r="D91" s="38">
        <f t="shared" si="7"/>
        <v>1.600113853</v>
      </c>
      <c r="E91" s="38">
        <f t="shared" si="1"/>
        <v>3.985141808</v>
      </c>
      <c r="F91" s="34">
        <f t="shared" si="2"/>
        <v>0.3648581919</v>
      </c>
      <c r="G91" s="38">
        <f t="shared" si="3"/>
        <v>0.2213287108</v>
      </c>
      <c r="H91" s="38">
        <f t="shared" si="4"/>
        <v>0.2213287108</v>
      </c>
      <c r="I91" s="38">
        <f t="shared" si="5"/>
        <v>0.1331215002</v>
      </c>
    </row>
    <row r="92">
      <c r="A92" s="29">
        <v>4.94</v>
      </c>
      <c r="B92" s="36">
        <v>1.721341989</v>
      </c>
      <c r="C92" s="37">
        <f t="shared" si="6"/>
        <v>-0.03284164022</v>
      </c>
      <c r="D92" s="38">
        <f t="shared" si="7"/>
        <v>1.754183629</v>
      </c>
      <c r="E92" s="38">
        <f t="shared" si="1"/>
        <v>5.222372008</v>
      </c>
      <c r="F92" s="34">
        <f t="shared" si="2"/>
        <v>-0.282372008</v>
      </c>
      <c r="G92" s="38">
        <f t="shared" si="3"/>
        <v>-0.1640417824</v>
      </c>
      <c r="H92" s="38">
        <f t="shared" si="4"/>
        <v>0.1640417824</v>
      </c>
      <c r="I92" s="38">
        <f t="shared" si="5"/>
        <v>0.07973395091</v>
      </c>
    </row>
    <row r="93">
      <c r="A93" s="29">
        <v>4.69</v>
      </c>
      <c r="B93" s="36">
        <v>1.691214784</v>
      </c>
      <c r="C93" s="37">
        <f t="shared" si="6"/>
        <v>-0.08748752094</v>
      </c>
      <c r="D93" s="38">
        <f t="shared" si="7"/>
        <v>1.778702305</v>
      </c>
      <c r="E93" s="38">
        <f t="shared" si="1"/>
        <v>5.439986809</v>
      </c>
      <c r="F93" s="34">
        <f t="shared" si="2"/>
        <v>-0.749986809</v>
      </c>
      <c r="G93" s="38">
        <f t="shared" si="3"/>
        <v>-0.4434604144</v>
      </c>
      <c r="H93" s="38">
        <f t="shared" si="4"/>
        <v>0.4434604144</v>
      </c>
      <c r="I93" s="38">
        <f t="shared" si="5"/>
        <v>0.5624802137</v>
      </c>
    </row>
    <row r="96">
      <c r="C96" s="40" t="s">
        <v>39</v>
      </c>
      <c r="D96" s="41"/>
      <c r="F96" s="40" t="s">
        <v>10</v>
      </c>
      <c r="G96" s="41"/>
    </row>
    <row r="97">
      <c r="C97" s="42" t="s">
        <v>40</v>
      </c>
      <c r="D97" s="43">
        <f>AVERAGE(H4:H81)*100</f>
        <v>19.48087135</v>
      </c>
      <c r="F97" s="42" t="s">
        <v>40</v>
      </c>
      <c r="G97" s="43">
        <f>AVERAGE(H82:H93)*100</f>
        <v>19.70564892</v>
      </c>
    </row>
    <row r="98">
      <c r="C98" s="42" t="s">
        <v>41</v>
      </c>
      <c r="D98" s="43">
        <f>SUM(H3:H81)/12</f>
        <v>1.266256638</v>
      </c>
      <c r="F98" s="42" t="s">
        <v>41</v>
      </c>
      <c r="G98" s="43">
        <f>SUM(H82:H93)/12</f>
        <v>0.1970564892</v>
      </c>
    </row>
    <row r="99">
      <c r="C99" s="42" t="s">
        <v>42</v>
      </c>
      <c r="D99" s="43">
        <f>SQRT(D98)</f>
        <v>1.125280693</v>
      </c>
      <c r="F99" s="42" t="s">
        <v>42</v>
      </c>
      <c r="G99" s="43">
        <f>SQRT(G98)</f>
        <v>0.4439104517</v>
      </c>
    </row>
    <row r="100">
      <c r="C100" s="42" t="s">
        <v>43</v>
      </c>
      <c r="D100" s="44">
        <f>SUM(F4:F81)/12</f>
        <v>-0.04898917397</v>
      </c>
      <c r="F100" s="42" t="s">
        <v>43</v>
      </c>
      <c r="G100" s="44">
        <f>SUM(F82:F93)/12</f>
        <v>-0.01969239376</v>
      </c>
    </row>
    <row r="101">
      <c r="C101" s="42" t="s">
        <v>44</v>
      </c>
      <c r="D101" s="44">
        <f>(SUM(G4:G81)/12)*100</f>
        <v>-3.563331958</v>
      </c>
      <c r="F101" s="42" t="s">
        <v>44</v>
      </c>
      <c r="G101" s="44">
        <f>(SUM(G82:G93)/12)*100</f>
        <v>-0.539900585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2024-10-15T06:33:38Z</dcterms:created>
  <dc:creator>openpyxl</dc:creator>
</cp:coreProperties>
</file>